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LIV deadline Rabu 4 sore\"/>
    </mc:Choice>
  </mc:AlternateContent>
  <xr:revisionPtr revIDLastSave="0" documentId="13_ncr:1_{113AFAE8-7483-48B0-A003-6F4A3285E41D}" xr6:coauthVersionLast="47" xr6:coauthVersionMax="47" xr10:uidLastSave="{00000000-0000-0000-0000-000000000000}"/>
  <bookViews>
    <workbookView minimized="1" xWindow="5300" yWindow="3830" windowWidth="14400" windowHeight="7270" xr2:uid="{5F8789E9-2EB3-4E6C-8D02-11BF346DA368}"/>
  </bookViews>
  <sheets>
    <sheet name="KERENTANAN" sheetId="1" r:id="rId1"/>
    <sheet name="Pertanya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C45" i="1"/>
  <c r="C46" i="1" s="1"/>
  <c r="C54" i="1"/>
  <c r="C53" i="1"/>
  <c r="Y48" i="1"/>
  <c r="W48" i="1"/>
  <c r="S48" i="1"/>
  <c r="P48" i="1"/>
  <c r="N48" i="1"/>
  <c r="H48" i="1"/>
  <c r="G48" i="1"/>
  <c r="Y46" i="1"/>
  <c r="W46" i="1"/>
  <c r="S46" i="1"/>
  <c r="P46" i="1"/>
  <c r="N46" i="1"/>
  <c r="H46" i="1"/>
  <c r="G46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D45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D4" i="1"/>
  <c r="AC4" i="1"/>
  <c r="AB4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C48" i="1" l="1"/>
  <c r="C52" i="1"/>
  <c r="AD40" i="1"/>
  <c r="AD41" i="1"/>
  <c r="AB40" i="1"/>
  <c r="AC40" i="1"/>
  <c r="AC41" i="1"/>
  <c r="AB41" i="1"/>
  <c r="AA41" i="1"/>
  <c r="AA40" i="1"/>
</calcChain>
</file>

<file path=xl/sharedStrings.xml><?xml version="1.0" encoding="utf-8"?>
<sst xmlns="http://schemas.openxmlformats.org/spreadsheetml/2006/main" count="116" uniqueCount="97">
  <si>
    <t>No</t>
  </si>
  <si>
    <t>Nama Responden</t>
  </si>
  <si>
    <t>Keterpaparan</t>
  </si>
  <si>
    <t>Kapasitas Adaptasi</t>
  </si>
  <si>
    <t>Sensitivitas</t>
  </si>
  <si>
    <t>Total</t>
  </si>
  <si>
    <t>Dampak ekologi dan ekonomi</t>
  </si>
  <si>
    <t>Modal alam, manusia, fisik, keuangan, dan sosial</t>
  </si>
  <si>
    <t>Pangan dan kepemilik kapal</t>
  </si>
  <si>
    <t>Ahmad Sudrajat</t>
  </si>
  <si>
    <t>Suhendar</t>
  </si>
  <si>
    <t>Samsuri</t>
  </si>
  <si>
    <t>Solihin</t>
  </si>
  <si>
    <t>Dasuki</t>
  </si>
  <si>
    <t>Miftah</t>
  </si>
  <si>
    <t>Ramli</t>
  </si>
  <si>
    <t>Mashudi</t>
  </si>
  <si>
    <t>Kursen</t>
  </si>
  <si>
    <t>Syamsudin</t>
  </si>
  <si>
    <t>Wahyu</t>
  </si>
  <si>
    <t>Talen</t>
  </si>
  <si>
    <t>Abdul Somad</t>
  </si>
  <si>
    <t>Hamim</t>
  </si>
  <si>
    <t>Solihun</t>
  </si>
  <si>
    <t>M Sofwan</t>
  </si>
  <si>
    <t>Taroni</t>
  </si>
  <si>
    <t>Baim</t>
  </si>
  <si>
    <t>Tahrudin</t>
  </si>
  <si>
    <t>Suhemi</t>
  </si>
  <si>
    <t>Rusman</t>
  </si>
  <si>
    <t>Asrul</t>
  </si>
  <si>
    <t>Mulyadi</t>
  </si>
  <si>
    <t>Wawan</t>
  </si>
  <si>
    <t>Mulyono</t>
  </si>
  <si>
    <t>Adam</t>
  </si>
  <si>
    <t>Sutarno</t>
  </si>
  <si>
    <t>Dodi</t>
  </si>
  <si>
    <t>Hariyanto</t>
  </si>
  <si>
    <t>Sudrajat</t>
  </si>
  <si>
    <t>Ridwan</t>
  </si>
  <si>
    <t>Adi</t>
  </si>
  <si>
    <t>Heri</t>
  </si>
  <si>
    <t>Yono</t>
  </si>
  <si>
    <t>Ratno</t>
  </si>
  <si>
    <t>Suseno</t>
  </si>
  <si>
    <t>Rata-rata</t>
  </si>
  <si>
    <t>Jumlah</t>
  </si>
  <si>
    <t>Keterangan:</t>
  </si>
  <si>
    <t>1 = Tidak</t>
  </si>
  <si>
    <t>2 = Ya</t>
  </si>
  <si>
    <t>Modal alam</t>
  </si>
  <si>
    <t>Ya(2)</t>
  </si>
  <si>
    <t>Tidak(1)</t>
  </si>
  <si>
    <t>Apakah Bapak melaut lebih lama dari biasanya (normalnya)?</t>
  </si>
  <si>
    <t>Modal Manusia</t>
  </si>
  <si>
    <t>Apakah Bapak menamatkan jenjang pendidikan sekolah dasar ?</t>
  </si>
  <si>
    <t>Apakah ada anggota rumah tangga yang bersekolah?</t>
  </si>
  <si>
    <t>Apakah nelayan adalah pekerjaan utama/pokok?</t>
  </si>
  <si>
    <t>Apakah Bapak memiliki pekerjaan sampingan?</t>
  </si>
  <si>
    <t>Apakah usia bapak dibawah 50 tahun?</t>
  </si>
  <si>
    <t>Apakah ada anggota keluarga yang bekerja selain bapak? (sebutkan:…………..)</t>
  </si>
  <si>
    <t>Modal Fisik</t>
  </si>
  <si>
    <t>Apakah Bapak memiliki GPS/kompas?</t>
  </si>
  <si>
    <t>Apakah Bapak memiliki alat tangkap untuk jenis ikan lain/komoditi lain? (sebutkan:……………)</t>
  </si>
  <si>
    <t>Modal Finansial</t>
  </si>
  <si>
    <t>Apakah Bapak memiliki tabungan?</t>
  </si>
  <si>
    <t>Apakah Bapak mendapatkan kiriman uang dari anak Bapak atau saudara yang bekerja di perantauan?</t>
  </si>
  <si>
    <t>Apakah Bapak memiliki sumber pendapatan lain selain dari hasil komoditi yang ditangkap?</t>
  </si>
  <si>
    <t>Modal Sosial</t>
  </si>
  <si>
    <t>Apakah Bapak memberikan pinjaman uang pada nelayan lain?</t>
  </si>
  <si>
    <t>Apakah Bapak menerima bantuan dari pemerintah selama setahun terakhir? Dalam bentuk apa?</t>
  </si>
  <si>
    <t>Apakah ada pinjaman dengan langan/renternir/koperasi?</t>
  </si>
  <si>
    <t>Apakah pihak yang meminjamkan turut menentukan harga?</t>
  </si>
  <si>
    <t>Ya (2)</t>
  </si>
  <si>
    <t>Tidak (1)</t>
  </si>
  <si>
    <t>Apakah Bapak merasakan terjadinya penurunan hasil tangkapan dalam satu tahun terakhir ini?</t>
  </si>
  <si>
    <t>Apakah dalam 5 tahun terakhir terjadi hal-hal sebagai berikut:</t>
  </si>
  <si>
    <t>a. Peningkatan curah hujan</t>
  </si>
  <si>
    <t>b. Peningkatan kecepatan angin</t>
  </si>
  <si>
    <t>c. Tsunami</t>
  </si>
  <si>
    <t>Apakah bapak merasakan adanya peningkatan kejadian cuaca buruk dalam satu tahun terakhir?</t>
  </si>
  <si>
    <t>Apakah cuaca buruk menjadi penghambat Bapak melakukan kegiatan melaut?</t>
  </si>
  <si>
    <t>Pangan</t>
  </si>
  <si>
    <t xml:space="preserve">Apakah kebutuhan pangan rumah tangga Bapak sepenuhnya bergantung pada penjualan hasil tangkapan? </t>
  </si>
  <si>
    <t>Apakah sebagian dari hasil tangkapan yang bapak dapatkan, dapat dimanfaatkan untuk kebutuhan pangan (lauk) sehari- hari?</t>
  </si>
  <si>
    <t>Kepemilikan kapal</t>
  </si>
  <si>
    <t>Apakah kapal yang Bapak gunakan merupakan milik pribadi?</t>
  </si>
  <si>
    <t>Pertanyaan keterpaparan</t>
  </si>
  <si>
    <t>Pertanyaan kapasitas adaptasi</t>
  </si>
  <si>
    <t>Pertanyaan sensitivitas</t>
  </si>
  <si>
    <t>Apakah Jenis kapal yang digunakan kapal bermalam?</t>
  </si>
  <si>
    <t>Bobot relatif</t>
  </si>
  <si>
    <t>LVI</t>
  </si>
  <si>
    <t>Index</t>
  </si>
  <si>
    <t>Major</t>
  </si>
  <si>
    <t>Major*Bobot</t>
  </si>
  <si>
    <t>Per Indikator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</si>
</sst>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4" fillId="2" borderId="4" xfId="0" applyFont="1" applyFill="1" applyBorder="1"/>
    <xf numFmtId="0" fontId="5" fillId="2" borderId="1" xfId="0" applyFont="1" applyFill="1" applyBorder="1" applyAlignment="1">
      <alignment horizontal="right" wrapText="1"/>
    </xf>
    <xf numFmtId="0" fontId="4" fillId="2" borderId="5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/>
    <xf numFmtId="0" fontId="5" fillId="2" borderId="2" xfId="0" applyFont="1" applyFill="1" applyBorder="1" applyAlignment="1">
      <alignment horizontal="right" wrapText="1"/>
    </xf>
    <xf numFmtId="0" fontId="3" fillId="2" borderId="2" xfId="0" applyFont="1" applyFill="1" applyBorder="1"/>
    <xf numFmtId="2" fontId="0" fillId="2" borderId="1" xfId="0" applyNumberFormat="1" applyFill="1" applyBorder="1"/>
    <xf numFmtId="2" fontId="1" fillId="2" borderId="1" xfId="0" applyNumberFormat="1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8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0" fillId="0" borderId="0" xfId="0" applyAlignment="1">
      <alignment horizontal="center"/>
    </xf>
    <xf numFmtId="0" fontId="8" fillId="0" borderId="9" xfId="0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3459-80E8-47D8-B9C3-4963E4C4DFCB}">
  <dimension ref="A1:AD54"/>
  <sheetViews>
    <sheetView tabSelected="1" topLeftCell="A39" workbookViewId="0">
      <selection activeCell="K55" sqref="K55"/>
    </sheetView>
  </sheetViews>
  <sheetFormatPr defaultRowHeight="14.5" x14ac:dyDescent="0.35"/>
  <cols>
    <col min="1" max="1" width="5.54296875" customWidth="1"/>
    <col min="2" max="2" width="17.1796875" bestFit="1" customWidth="1"/>
    <col min="28" max="28" width="12.1796875" bestFit="1" customWidth="1"/>
    <col min="29" max="29" width="16.453125" bestFit="1" customWidth="1"/>
    <col min="30" max="30" width="10" bestFit="1" customWidth="1"/>
  </cols>
  <sheetData>
    <row r="1" spans="1:30" ht="15.5" x14ac:dyDescent="0.35">
      <c r="A1" s="54" t="s">
        <v>0</v>
      </c>
      <c r="B1" s="54" t="s">
        <v>1</v>
      </c>
      <c r="C1" s="48" t="s">
        <v>2</v>
      </c>
      <c r="D1" s="48"/>
      <c r="E1" s="48"/>
      <c r="F1" s="48"/>
      <c r="G1" s="48" t="s">
        <v>3</v>
      </c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 t="s">
        <v>4</v>
      </c>
      <c r="X1" s="48"/>
      <c r="Y1" s="48"/>
      <c r="Z1" s="48"/>
      <c r="AA1" s="49" t="s">
        <v>5</v>
      </c>
      <c r="AB1" s="46" t="s">
        <v>2</v>
      </c>
      <c r="AC1" s="47" t="s">
        <v>3</v>
      </c>
      <c r="AD1" s="47" t="s">
        <v>4</v>
      </c>
    </row>
    <row r="2" spans="1:30" ht="15.5" x14ac:dyDescent="0.35">
      <c r="A2" s="54"/>
      <c r="B2" s="54"/>
      <c r="C2" s="48" t="s">
        <v>6</v>
      </c>
      <c r="D2" s="48"/>
      <c r="E2" s="48"/>
      <c r="F2" s="48"/>
      <c r="G2" s="48" t="s">
        <v>7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 t="s">
        <v>8</v>
      </c>
      <c r="X2" s="48"/>
      <c r="Y2" s="48"/>
      <c r="Z2" s="48"/>
      <c r="AA2" s="50"/>
      <c r="AB2" s="46"/>
      <c r="AC2" s="47"/>
      <c r="AD2" s="47"/>
    </row>
    <row r="3" spans="1:30" ht="15.5" x14ac:dyDescent="0.35">
      <c r="A3" s="54"/>
      <c r="B3" s="54"/>
      <c r="C3" s="1">
        <v>1</v>
      </c>
      <c r="D3" s="1">
        <v>2</v>
      </c>
      <c r="E3" s="1">
        <v>3</v>
      </c>
      <c r="F3" s="1">
        <v>4</v>
      </c>
      <c r="G3" s="1">
        <v>1</v>
      </c>
      <c r="H3" s="2">
        <v>2</v>
      </c>
      <c r="I3" s="1">
        <v>3</v>
      </c>
      <c r="J3" s="3">
        <v>4</v>
      </c>
      <c r="K3" s="1">
        <v>5</v>
      </c>
      <c r="L3" s="1">
        <v>6</v>
      </c>
      <c r="M3" s="1">
        <v>7</v>
      </c>
      <c r="N3" s="1">
        <v>8</v>
      </c>
      <c r="O3" s="2">
        <v>9</v>
      </c>
      <c r="P3" s="1">
        <v>10</v>
      </c>
      <c r="Q3" s="3">
        <v>11</v>
      </c>
      <c r="R3" s="1">
        <v>12</v>
      </c>
      <c r="S3" s="1">
        <v>13</v>
      </c>
      <c r="T3" s="1">
        <v>14</v>
      </c>
      <c r="U3" s="1">
        <v>15</v>
      </c>
      <c r="V3" s="1">
        <v>16</v>
      </c>
      <c r="W3" s="1">
        <v>1</v>
      </c>
      <c r="X3" s="1">
        <v>2</v>
      </c>
      <c r="Y3" s="1">
        <v>3</v>
      </c>
      <c r="Z3" s="1">
        <v>4</v>
      </c>
      <c r="AA3" s="51"/>
      <c r="AB3" s="46"/>
      <c r="AC3" s="47"/>
      <c r="AD3" s="47"/>
    </row>
    <row r="4" spans="1:30" ht="14" customHeight="1" x14ac:dyDescent="0.35">
      <c r="A4" s="4">
        <v>1</v>
      </c>
      <c r="B4" s="5" t="s">
        <v>9</v>
      </c>
      <c r="C4" s="6">
        <v>2</v>
      </c>
      <c r="D4" s="6">
        <v>2</v>
      </c>
      <c r="E4" s="6">
        <v>2</v>
      </c>
      <c r="F4" s="6">
        <v>2</v>
      </c>
      <c r="G4" s="6">
        <v>2</v>
      </c>
      <c r="H4" s="7">
        <v>2</v>
      </c>
      <c r="I4" s="8">
        <v>1</v>
      </c>
      <c r="J4" s="9">
        <v>2</v>
      </c>
      <c r="K4" s="6">
        <v>1</v>
      </c>
      <c r="L4" s="6">
        <v>2</v>
      </c>
      <c r="M4" s="6">
        <v>1</v>
      </c>
      <c r="N4" s="6">
        <v>1</v>
      </c>
      <c r="O4" s="7">
        <v>2</v>
      </c>
      <c r="P4" s="8">
        <v>2</v>
      </c>
      <c r="Q4" s="9">
        <v>1</v>
      </c>
      <c r="R4" s="6">
        <v>1</v>
      </c>
      <c r="S4" s="6">
        <v>1</v>
      </c>
      <c r="T4" s="6">
        <v>2</v>
      </c>
      <c r="U4" s="6">
        <v>1</v>
      </c>
      <c r="V4" s="6">
        <v>1</v>
      </c>
      <c r="W4" s="6">
        <v>2</v>
      </c>
      <c r="X4" s="6">
        <v>2</v>
      </c>
      <c r="Y4" s="6">
        <v>2</v>
      </c>
      <c r="Z4" s="6">
        <v>2</v>
      </c>
      <c r="AA4" s="10">
        <f>SUM(C4:Z4)</f>
        <v>39</v>
      </c>
      <c r="AB4">
        <f>AVERAGE(C4:F4)</f>
        <v>2</v>
      </c>
      <c r="AC4">
        <f>AVERAGE(G4:V4)</f>
        <v>1.4375</v>
      </c>
      <c r="AD4">
        <f>AVERAGE(W4:Z4)</f>
        <v>2</v>
      </c>
    </row>
    <row r="5" spans="1:30" ht="14" customHeight="1" x14ac:dyDescent="0.35">
      <c r="A5" s="4">
        <v>2</v>
      </c>
      <c r="B5" s="5" t="s">
        <v>10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7">
        <v>2</v>
      </c>
      <c r="I5" s="8">
        <v>2</v>
      </c>
      <c r="J5" s="9">
        <v>2</v>
      </c>
      <c r="K5" s="6">
        <v>1</v>
      </c>
      <c r="L5" s="6">
        <v>2</v>
      </c>
      <c r="M5" s="6">
        <v>2</v>
      </c>
      <c r="N5" s="6">
        <v>1</v>
      </c>
      <c r="O5" s="7">
        <v>1</v>
      </c>
      <c r="P5" s="8">
        <v>2</v>
      </c>
      <c r="Q5" s="9">
        <v>1</v>
      </c>
      <c r="R5" s="6">
        <v>1</v>
      </c>
      <c r="S5" s="6">
        <v>1</v>
      </c>
      <c r="T5" s="6">
        <v>2</v>
      </c>
      <c r="U5" s="6">
        <v>1</v>
      </c>
      <c r="V5" s="6">
        <v>1</v>
      </c>
      <c r="W5" s="6">
        <v>1</v>
      </c>
      <c r="X5" s="6">
        <v>2</v>
      </c>
      <c r="Y5" s="6">
        <v>2</v>
      </c>
      <c r="Z5" s="6">
        <v>1</v>
      </c>
      <c r="AA5" s="10">
        <f t="shared" ref="AA5:AA39" si="0">SUM(C5:Z5)</f>
        <v>38</v>
      </c>
      <c r="AB5">
        <f t="shared" ref="AB5:AB40" si="1">AVERAGE(C5:F5)</f>
        <v>2</v>
      </c>
      <c r="AC5">
        <f t="shared" ref="AC5:AC40" si="2">AVERAGE(G5:V5)</f>
        <v>1.5</v>
      </c>
      <c r="AD5">
        <f t="shared" ref="AD5:AD40" si="3">AVERAGE(W5:Z5)</f>
        <v>1.5</v>
      </c>
    </row>
    <row r="6" spans="1:30" ht="15.5" x14ac:dyDescent="0.35">
      <c r="A6" s="4">
        <v>3</v>
      </c>
      <c r="B6" s="5" t="s">
        <v>11</v>
      </c>
      <c r="C6" s="6">
        <v>2</v>
      </c>
      <c r="D6" s="6">
        <v>2</v>
      </c>
      <c r="E6" s="6">
        <v>2</v>
      </c>
      <c r="F6" s="6">
        <v>2</v>
      </c>
      <c r="G6" s="6">
        <v>1</v>
      </c>
      <c r="H6" s="7">
        <v>2</v>
      </c>
      <c r="I6" s="8">
        <v>2</v>
      </c>
      <c r="J6" s="9">
        <v>2</v>
      </c>
      <c r="K6" s="6">
        <v>1</v>
      </c>
      <c r="L6" s="6">
        <v>1</v>
      </c>
      <c r="M6" s="6">
        <v>1</v>
      </c>
      <c r="N6" s="6">
        <v>1</v>
      </c>
      <c r="O6" s="7">
        <v>2</v>
      </c>
      <c r="P6" s="8">
        <v>1</v>
      </c>
      <c r="Q6" s="9">
        <v>1</v>
      </c>
      <c r="R6" s="6">
        <v>1</v>
      </c>
      <c r="S6" s="6">
        <v>1</v>
      </c>
      <c r="T6" s="6">
        <v>2</v>
      </c>
      <c r="U6" s="6">
        <v>2</v>
      </c>
      <c r="V6" s="6">
        <v>2</v>
      </c>
      <c r="W6" s="6">
        <v>2</v>
      </c>
      <c r="X6" s="6">
        <v>2</v>
      </c>
      <c r="Y6" s="6">
        <v>2</v>
      </c>
      <c r="Z6" s="6">
        <v>1</v>
      </c>
      <c r="AA6" s="10">
        <f t="shared" si="0"/>
        <v>38</v>
      </c>
      <c r="AB6">
        <f t="shared" si="1"/>
        <v>2</v>
      </c>
      <c r="AC6">
        <f t="shared" si="2"/>
        <v>1.4375</v>
      </c>
      <c r="AD6">
        <f t="shared" si="3"/>
        <v>1.75</v>
      </c>
    </row>
    <row r="7" spans="1:30" ht="15.5" x14ac:dyDescent="0.35">
      <c r="A7" s="4">
        <v>4</v>
      </c>
      <c r="B7" s="5" t="s">
        <v>12</v>
      </c>
      <c r="C7" s="6">
        <v>2</v>
      </c>
      <c r="D7" s="6">
        <v>2</v>
      </c>
      <c r="E7" s="6">
        <v>2</v>
      </c>
      <c r="F7" s="6">
        <v>2</v>
      </c>
      <c r="G7" s="6">
        <v>2</v>
      </c>
      <c r="H7" s="7">
        <v>2</v>
      </c>
      <c r="I7" s="8">
        <v>2</v>
      </c>
      <c r="J7" s="9">
        <v>2</v>
      </c>
      <c r="K7" s="6">
        <v>1</v>
      </c>
      <c r="L7" s="6">
        <v>1</v>
      </c>
      <c r="M7" s="6">
        <v>1</v>
      </c>
      <c r="N7" s="6">
        <v>1</v>
      </c>
      <c r="O7" s="7">
        <v>1</v>
      </c>
      <c r="P7" s="8">
        <v>2</v>
      </c>
      <c r="Q7" s="9">
        <v>2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2</v>
      </c>
      <c r="Y7" s="6">
        <v>2</v>
      </c>
      <c r="Z7" s="6">
        <v>1</v>
      </c>
      <c r="AA7" s="10">
        <f t="shared" si="0"/>
        <v>36</v>
      </c>
      <c r="AB7">
        <f t="shared" si="1"/>
        <v>2</v>
      </c>
      <c r="AC7">
        <f t="shared" si="2"/>
        <v>1.375</v>
      </c>
      <c r="AD7">
        <f t="shared" si="3"/>
        <v>1.5</v>
      </c>
    </row>
    <row r="8" spans="1:30" ht="15.5" x14ac:dyDescent="0.35">
      <c r="A8" s="4">
        <v>5</v>
      </c>
      <c r="B8" s="5" t="s">
        <v>13</v>
      </c>
      <c r="C8" s="6">
        <v>1</v>
      </c>
      <c r="D8" s="6">
        <v>1</v>
      </c>
      <c r="E8" s="6">
        <v>2</v>
      </c>
      <c r="F8" s="6">
        <v>2</v>
      </c>
      <c r="G8" s="6">
        <v>1</v>
      </c>
      <c r="H8" s="7">
        <v>2</v>
      </c>
      <c r="I8" s="8">
        <v>2</v>
      </c>
      <c r="J8" s="9">
        <v>2</v>
      </c>
      <c r="K8" s="6">
        <v>1</v>
      </c>
      <c r="L8" s="6">
        <v>2</v>
      </c>
      <c r="M8" s="6">
        <v>2</v>
      </c>
      <c r="N8" s="6">
        <v>2</v>
      </c>
      <c r="O8" s="7">
        <v>1</v>
      </c>
      <c r="P8" s="8">
        <v>2</v>
      </c>
      <c r="Q8" s="9">
        <v>1</v>
      </c>
      <c r="R8" s="6">
        <v>2</v>
      </c>
      <c r="S8" s="6">
        <v>1</v>
      </c>
      <c r="T8" s="6">
        <v>2</v>
      </c>
      <c r="U8" s="6">
        <v>1</v>
      </c>
      <c r="V8" s="6">
        <v>1</v>
      </c>
      <c r="W8" s="6">
        <v>2</v>
      </c>
      <c r="X8" s="6">
        <v>2</v>
      </c>
      <c r="Y8" s="6">
        <v>2</v>
      </c>
      <c r="Z8" s="6">
        <v>2</v>
      </c>
      <c r="AA8" s="10">
        <f t="shared" si="0"/>
        <v>39</v>
      </c>
      <c r="AB8">
        <f t="shared" si="1"/>
        <v>1.5</v>
      </c>
      <c r="AC8">
        <f t="shared" si="2"/>
        <v>1.5625</v>
      </c>
      <c r="AD8">
        <f t="shared" si="3"/>
        <v>2</v>
      </c>
    </row>
    <row r="9" spans="1:30" ht="15.5" x14ac:dyDescent="0.35">
      <c r="A9" s="4">
        <v>6</v>
      </c>
      <c r="B9" s="5" t="s">
        <v>14</v>
      </c>
      <c r="C9" s="6">
        <v>2</v>
      </c>
      <c r="D9" s="6">
        <v>2</v>
      </c>
      <c r="E9" s="6">
        <v>2</v>
      </c>
      <c r="F9" s="6">
        <v>2</v>
      </c>
      <c r="G9" s="6">
        <v>2</v>
      </c>
      <c r="H9" s="7">
        <v>2</v>
      </c>
      <c r="I9" s="8">
        <v>2</v>
      </c>
      <c r="J9" s="9">
        <v>2</v>
      </c>
      <c r="K9" s="6">
        <v>1</v>
      </c>
      <c r="L9" s="6">
        <v>2</v>
      </c>
      <c r="M9" s="6">
        <v>1</v>
      </c>
      <c r="N9" s="6">
        <v>1</v>
      </c>
      <c r="O9" s="7">
        <v>1</v>
      </c>
      <c r="P9" s="8">
        <v>1</v>
      </c>
      <c r="Q9" s="9">
        <v>1</v>
      </c>
      <c r="R9" s="6">
        <v>1</v>
      </c>
      <c r="S9" s="6">
        <v>1</v>
      </c>
      <c r="T9" s="6">
        <v>2</v>
      </c>
      <c r="U9" s="6">
        <v>1</v>
      </c>
      <c r="V9" s="6">
        <v>1</v>
      </c>
      <c r="W9" s="6">
        <v>2</v>
      </c>
      <c r="X9" s="6">
        <v>2</v>
      </c>
      <c r="Y9" s="6">
        <v>2</v>
      </c>
      <c r="Z9" s="6">
        <v>1</v>
      </c>
      <c r="AA9" s="10">
        <f t="shared" si="0"/>
        <v>37</v>
      </c>
      <c r="AB9">
        <f t="shared" si="1"/>
        <v>2</v>
      </c>
      <c r="AC9">
        <f t="shared" si="2"/>
        <v>1.375</v>
      </c>
      <c r="AD9">
        <f t="shared" si="3"/>
        <v>1.75</v>
      </c>
    </row>
    <row r="10" spans="1:30" ht="15.5" x14ac:dyDescent="0.35">
      <c r="A10" s="4">
        <v>7</v>
      </c>
      <c r="B10" s="5" t="s">
        <v>15</v>
      </c>
      <c r="C10" s="6">
        <v>2</v>
      </c>
      <c r="D10" s="6">
        <v>2</v>
      </c>
      <c r="E10" s="6">
        <v>2</v>
      </c>
      <c r="F10" s="6">
        <v>2</v>
      </c>
      <c r="G10" s="6">
        <v>1</v>
      </c>
      <c r="H10" s="7">
        <v>2</v>
      </c>
      <c r="I10" s="8">
        <v>1</v>
      </c>
      <c r="J10" s="9">
        <v>2</v>
      </c>
      <c r="K10" s="6">
        <v>2</v>
      </c>
      <c r="L10" s="6">
        <v>2</v>
      </c>
      <c r="M10" s="6">
        <v>2</v>
      </c>
      <c r="N10" s="6">
        <v>1</v>
      </c>
      <c r="O10" s="7">
        <v>2</v>
      </c>
      <c r="P10" s="8">
        <v>2</v>
      </c>
      <c r="Q10" s="9">
        <v>1</v>
      </c>
      <c r="R10" s="6">
        <v>2</v>
      </c>
      <c r="S10" s="6">
        <v>2</v>
      </c>
      <c r="T10" s="6">
        <v>2</v>
      </c>
      <c r="U10" s="6">
        <v>1</v>
      </c>
      <c r="V10" s="6">
        <v>1</v>
      </c>
      <c r="W10" s="6">
        <v>1</v>
      </c>
      <c r="X10" s="6">
        <v>2</v>
      </c>
      <c r="Y10" s="6">
        <v>2</v>
      </c>
      <c r="Z10" s="6">
        <v>1</v>
      </c>
      <c r="AA10" s="10">
        <f t="shared" si="0"/>
        <v>40</v>
      </c>
      <c r="AB10">
        <f t="shared" si="1"/>
        <v>2</v>
      </c>
      <c r="AC10">
        <f t="shared" si="2"/>
        <v>1.625</v>
      </c>
      <c r="AD10">
        <f t="shared" si="3"/>
        <v>1.5</v>
      </c>
    </row>
    <row r="11" spans="1:30" ht="15.5" x14ac:dyDescent="0.35">
      <c r="A11" s="4">
        <v>8</v>
      </c>
      <c r="B11" s="5" t="s">
        <v>16</v>
      </c>
      <c r="C11" s="6">
        <v>2</v>
      </c>
      <c r="D11" s="6">
        <v>2</v>
      </c>
      <c r="E11" s="6">
        <v>2</v>
      </c>
      <c r="F11" s="6">
        <v>2</v>
      </c>
      <c r="G11" s="6">
        <v>2</v>
      </c>
      <c r="H11" s="7">
        <v>2</v>
      </c>
      <c r="I11" s="8">
        <v>2</v>
      </c>
      <c r="J11" s="9">
        <v>2</v>
      </c>
      <c r="K11" s="6">
        <v>2</v>
      </c>
      <c r="L11" s="6">
        <v>1</v>
      </c>
      <c r="M11" s="6">
        <v>2</v>
      </c>
      <c r="N11" s="6">
        <v>2</v>
      </c>
      <c r="O11" s="7">
        <v>2</v>
      </c>
      <c r="P11" s="8">
        <v>2</v>
      </c>
      <c r="Q11" s="9">
        <v>1</v>
      </c>
      <c r="R11" s="6">
        <v>2</v>
      </c>
      <c r="S11" s="6">
        <v>1</v>
      </c>
      <c r="T11" s="6">
        <v>2</v>
      </c>
      <c r="U11" s="6">
        <v>1</v>
      </c>
      <c r="V11" s="6">
        <v>1</v>
      </c>
      <c r="W11" s="6">
        <v>1</v>
      </c>
      <c r="X11" s="6">
        <v>1</v>
      </c>
      <c r="Y11" s="6">
        <v>2</v>
      </c>
      <c r="Z11" s="6">
        <v>1</v>
      </c>
      <c r="AA11" s="10">
        <f t="shared" si="0"/>
        <v>40</v>
      </c>
      <c r="AB11">
        <f t="shared" si="1"/>
        <v>2</v>
      </c>
      <c r="AC11">
        <f t="shared" si="2"/>
        <v>1.6875</v>
      </c>
      <c r="AD11">
        <f t="shared" si="3"/>
        <v>1.25</v>
      </c>
    </row>
    <row r="12" spans="1:30" ht="15.5" x14ac:dyDescent="0.35">
      <c r="A12" s="4">
        <v>9</v>
      </c>
      <c r="B12" s="5" t="s">
        <v>17</v>
      </c>
      <c r="C12" s="6">
        <v>2</v>
      </c>
      <c r="D12" s="6">
        <v>2</v>
      </c>
      <c r="E12" s="6">
        <v>2</v>
      </c>
      <c r="F12" s="6">
        <v>2</v>
      </c>
      <c r="G12" s="6">
        <v>1</v>
      </c>
      <c r="H12" s="7">
        <v>2</v>
      </c>
      <c r="I12" s="8">
        <v>1</v>
      </c>
      <c r="J12" s="9">
        <v>2</v>
      </c>
      <c r="K12" s="6">
        <v>1</v>
      </c>
      <c r="L12" s="6">
        <v>1</v>
      </c>
      <c r="M12" s="6">
        <v>1</v>
      </c>
      <c r="N12" s="6">
        <v>1</v>
      </c>
      <c r="O12" s="7">
        <v>1</v>
      </c>
      <c r="P12" s="8">
        <v>2</v>
      </c>
      <c r="Q12" s="9">
        <v>1</v>
      </c>
      <c r="R12" s="6">
        <v>1</v>
      </c>
      <c r="S12" s="6">
        <v>1</v>
      </c>
      <c r="T12" s="6">
        <v>2</v>
      </c>
      <c r="U12" s="6">
        <v>1</v>
      </c>
      <c r="V12" s="6">
        <v>1</v>
      </c>
      <c r="W12" s="6">
        <v>2</v>
      </c>
      <c r="X12" s="6">
        <v>2</v>
      </c>
      <c r="Y12" s="6">
        <v>2</v>
      </c>
      <c r="Z12" s="6">
        <v>1</v>
      </c>
      <c r="AA12" s="10">
        <f t="shared" si="0"/>
        <v>35</v>
      </c>
      <c r="AB12">
        <f t="shared" si="1"/>
        <v>2</v>
      </c>
      <c r="AC12">
        <f t="shared" si="2"/>
        <v>1.25</v>
      </c>
      <c r="AD12">
        <f t="shared" si="3"/>
        <v>1.75</v>
      </c>
    </row>
    <row r="13" spans="1:30" ht="15.5" customHeight="1" x14ac:dyDescent="0.35">
      <c r="A13" s="4">
        <v>10</v>
      </c>
      <c r="B13" s="5" t="s">
        <v>18</v>
      </c>
      <c r="C13" s="6">
        <v>1</v>
      </c>
      <c r="D13" s="6">
        <v>1</v>
      </c>
      <c r="E13" s="6">
        <v>1</v>
      </c>
      <c r="F13" s="6">
        <v>2</v>
      </c>
      <c r="G13" s="6">
        <v>2</v>
      </c>
      <c r="H13" s="7">
        <v>2</v>
      </c>
      <c r="I13" s="8">
        <v>2</v>
      </c>
      <c r="J13" s="9">
        <v>2</v>
      </c>
      <c r="K13" s="6">
        <v>1</v>
      </c>
      <c r="L13" s="6">
        <v>2</v>
      </c>
      <c r="M13" s="6">
        <v>2</v>
      </c>
      <c r="N13" s="6">
        <v>1</v>
      </c>
      <c r="O13" s="7">
        <v>1</v>
      </c>
      <c r="P13" s="8">
        <v>2</v>
      </c>
      <c r="Q13" s="9">
        <v>2</v>
      </c>
      <c r="R13" s="6">
        <v>1</v>
      </c>
      <c r="S13" s="6">
        <v>2</v>
      </c>
      <c r="T13" s="6">
        <v>2</v>
      </c>
      <c r="U13" s="6">
        <v>1</v>
      </c>
      <c r="V13" s="6">
        <v>1</v>
      </c>
      <c r="W13" s="6">
        <v>1</v>
      </c>
      <c r="X13" s="6">
        <v>2</v>
      </c>
      <c r="Y13" s="6">
        <v>2</v>
      </c>
      <c r="Z13" s="6">
        <v>2</v>
      </c>
      <c r="AA13" s="10">
        <f t="shared" si="0"/>
        <v>38</v>
      </c>
      <c r="AB13">
        <f t="shared" si="1"/>
        <v>1.25</v>
      </c>
      <c r="AC13">
        <f t="shared" si="2"/>
        <v>1.625</v>
      </c>
      <c r="AD13">
        <f t="shared" si="3"/>
        <v>1.75</v>
      </c>
    </row>
    <row r="14" spans="1:30" ht="15.5" x14ac:dyDescent="0.35">
      <c r="A14" s="4">
        <v>11</v>
      </c>
      <c r="B14" s="5" t="s">
        <v>19</v>
      </c>
      <c r="C14" s="6">
        <v>2</v>
      </c>
      <c r="D14" s="6">
        <v>2</v>
      </c>
      <c r="E14" s="6">
        <v>2</v>
      </c>
      <c r="F14" s="6">
        <v>2</v>
      </c>
      <c r="G14" s="6">
        <v>2</v>
      </c>
      <c r="H14" s="7">
        <v>2</v>
      </c>
      <c r="I14" s="8">
        <v>2</v>
      </c>
      <c r="J14" s="9">
        <v>2</v>
      </c>
      <c r="K14" s="6">
        <v>1</v>
      </c>
      <c r="L14" s="6">
        <v>1</v>
      </c>
      <c r="M14" s="6">
        <v>2</v>
      </c>
      <c r="N14" s="6">
        <v>1</v>
      </c>
      <c r="O14" s="7">
        <v>2</v>
      </c>
      <c r="P14" s="8">
        <v>2</v>
      </c>
      <c r="Q14" s="9">
        <v>1</v>
      </c>
      <c r="R14" s="6">
        <v>1</v>
      </c>
      <c r="S14" s="6">
        <v>2</v>
      </c>
      <c r="T14" s="6">
        <v>2</v>
      </c>
      <c r="U14" s="6">
        <v>2</v>
      </c>
      <c r="V14" s="6">
        <v>2</v>
      </c>
      <c r="W14" s="6">
        <v>1</v>
      </c>
      <c r="X14" s="6">
        <v>2</v>
      </c>
      <c r="Y14" s="6">
        <v>2</v>
      </c>
      <c r="Z14" s="6">
        <v>2</v>
      </c>
      <c r="AA14" s="10">
        <f t="shared" si="0"/>
        <v>42</v>
      </c>
      <c r="AB14">
        <f t="shared" si="1"/>
        <v>2</v>
      </c>
      <c r="AC14">
        <f t="shared" si="2"/>
        <v>1.6875</v>
      </c>
      <c r="AD14">
        <f t="shared" si="3"/>
        <v>1.75</v>
      </c>
    </row>
    <row r="15" spans="1:30" ht="15.5" x14ac:dyDescent="0.35">
      <c r="A15" s="4">
        <v>12</v>
      </c>
      <c r="B15" s="5" t="s">
        <v>20</v>
      </c>
      <c r="C15" s="6">
        <v>2</v>
      </c>
      <c r="D15" s="6">
        <v>2</v>
      </c>
      <c r="E15" s="6">
        <v>2</v>
      </c>
      <c r="F15" s="6">
        <v>2</v>
      </c>
      <c r="G15" s="6">
        <v>2</v>
      </c>
      <c r="H15" s="7">
        <v>1</v>
      </c>
      <c r="I15" s="8">
        <v>2</v>
      </c>
      <c r="J15" s="9">
        <v>2</v>
      </c>
      <c r="K15" s="6">
        <v>1</v>
      </c>
      <c r="L15" s="6">
        <v>1</v>
      </c>
      <c r="M15" s="6">
        <v>2</v>
      </c>
      <c r="N15" s="6">
        <v>1</v>
      </c>
      <c r="O15" s="7">
        <v>1</v>
      </c>
      <c r="P15" s="8">
        <v>1</v>
      </c>
      <c r="Q15" s="9">
        <v>1</v>
      </c>
      <c r="R15" s="6">
        <v>1</v>
      </c>
      <c r="S15" s="6">
        <v>1</v>
      </c>
      <c r="T15" s="6">
        <v>2</v>
      </c>
      <c r="U15" s="6">
        <v>1</v>
      </c>
      <c r="V15" s="6">
        <v>1</v>
      </c>
      <c r="W15" s="6">
        <v>1</v>
      </c>
      <c r="X15" s="6">
        <v>2</v>
      </c>
      <c r="Y15" s="6">
        <v>2</v>
      </c>
      <c r="Z15" s="6">
        <v>1</v>
      </c>
      <c r="AA15" s="10">
        <f t="shared" si="0"/>
        <v>35</v>
      </c>
      <c r="AB15">
        <f t="shared" si="1"/>
        <v>2</v>
      </c>
      <c r="AC15">
        <f t="shared" si="2"/>
        <v>1.3125</v>
      </c>
      <c r="AD15">
        <f t="shared" si="3"/>
        <v>1.5</v>
      </c>
    </row>
    <row r="16" spans="1:30" ht="16.5" customHeight="1" x14ac:dyDescent="0.35">
      <c r="A16" s="4">
        <v>13</v>
      </c>
      <c r="B16" s="5" t="s">
        <v>21</v>
      </c>
      <c r="C16" s="6">
        <v>2</v>
      </c>
      <c r="D16" s="6">
        <v>2</v>
      </c>
      <c r="E16" s="6">
        <v>2</v>
      </c>
      <c r="F16" s="6">
        <v>2</v>
      </c>
      <c r="G16" s="6">
        <v>2</v>
      </c>
      <c r="H16" s="7">
        <v>2</v>
      </c>
      <c r="I16" s="8">
        <v>2</v>
      </c>
      <c r="J16" s="9">
        <v>2</v>
      </c>
      <c r="K16" s="6">
        <v>1</v>
      </c>
      <c r="L16" s="6">
        <v>1</v>
      </c>
      <c r="M16" s="6">
        <v>2</v>
      </c>
      <c r="N16" s="6">
        <v>1</v>
      </c>
      <c r="O16" s="7">
        <v>1</v>
      </c>
      <c r="P16" s="8">
        <v>1</v>
      </c>
      <c r="Q16" s="9">
        <v>1</v>
      </c>
      <c r="R16" s="6">
        <v>1</v>
      </c>
      <c r="S16" s="6">
        <v>2</v>
      </c>
      <c r="T16" s="6">
        <v>1</v>
      </c>
      <c r="U16" s="6">
        <v>2</v>
      </c>
      <c r="V16" s="6">
        <v>2</v>
      </c>
      <c r="W16" s="6">
        <v>1</v>
      </c>
      <c r="X16" s="6">
        <v>2</v>
      </c>
      <c r="Y16" s="6">
        <v>2</v>
      </c>
      <c r="Z16" s="6">
        <v>1</v>
      </c>
      <c r="AA16" s="10">
        <f t="shared" si="0"/>
        <v>38</v>
      </c>
      <c r="AB16">
        <f t="shared" si="1"/>
        <v>2</v>
      </c>
      <c r="AC16">
        <f t="shared" si="2"/>
        <v>1.5</v>
      </c>
      <c r="AD16">
        <f t="shared" si="3"/>
        <v>1.5</v>
      </c>
    </row>
    <row r="17" spans="1:30" ht="15.5" x14ac:dyDescent="0.35">
      <c r="A17" s="4">
        <v>14</v>
      </c>
      <c r="B17" s="5" t="s">
        <v>22</v>
      </c>
      <c r="C17" s="6">
        <v>2</v>
      </c>
      <c r="D17" s="6">
        <v>2</v>
      </c>
      <c r="E17" s="6">
        <v>2</v>
      </c>
      <c r="F17" s="6">
        <v>2</v>
      </c>
      <c r="G17" s="6">
        <v>1</v>
      </c>
      <c r="H17" s="7">
        <v>2</v>
      </c>
      <c r="I17" s="8">
        <v>1</v>
      </c>
      <c r="J17" s="9">
        <v>2</v>
      </c>
      <c r="K17" s="6">
        <v>1</v>
      </c>
      <c r="L17" s="6">
        <v>1</v>
      </c>
      <c r="M17" s="6">
        <v>2</v>
      </c>
      <c r="N17" s="6">
        <v>1</v>
      </c>
      <c r="O17" s="7">
        <v>2</v>
      </c>
      <c r="P17" s="8">
        <v>2</v>
      </c>
      <c r="Q17" s="9">
        <v>1</v>
      </c>
      <c r="R17" s="6">
        <v>1</v>
      </c>
      <c r="S17" s="6">
        <v>1</v>
      </c>
      <c r="T17" s="6">
        <v>2</v>
      </c>
      <c r="U17" s="6">
        <v>2</v>
      </c>
      <c r="V17" s="6">
        <v>2</v>
      </c>
      <c r="W17" s="6">
        <v>1</v>
      </c>
      <c r="X17" s="6">
        <v>2</v>
      </c>
      <c r="Y17" s="6">
        <v>2</v>
      </c>
      <c r="Z17" s="6">
        <v>1</v>
      </c>
      <c r="AA17" s="10">
        <f t="shared" si="0"/>
        <v>38</v>
      </c>
      <c r="AB17">
        <f t="shared" si="1"/>
        <v>2</v>
      </c>
      <c r="AC17">
        <f t="shared" si="2"/>
        <v>1.5</v>
      </c>
      <c r="AD17">
        <f t="shared" si="3"/>
        <v>1.5</v>
      </c>
    </row>
    <row r="18" spans="1:30" ht="15.5" x14ac:dyDescent="0.35">
      <c r="A18" s="4">
        <v>15</v>
      </c>
      <c r="B18" s="5" t="s">
        <v>23</v>
      </c>
      <c r="C18" s="6">
        <v>2</v>
      </c>
      <c r="D18" s="6">
        <v>2</v>
      </c>
      <c r="E18" s="6">
        <v>2</v>
      </c>
      <c r="F18" s="6">
        <v>2</v>
      </c>
      <c r="G18" s="6">
        <v>2</v>
      </c>
      <c r="H18" s="7">
        <v>2</v>
      </c>
      <c r="I18" s="8">
        <v>2</v>
      </c>
      <c r="J18" s="9">
        <v>2</v>
      </c>
      <c r="K18" s="6">
        <v>1</v>
      </c>
      <c r="L18" s="6">
        <v>2</v>
      </c>
      <c r="M18" s="6">
        <v>1</v>
      </c>
      <c r="N18" s="6">
        <v>1</v>
      </c>
      <c r="O18" s="7">
        <v>1</v>
      </c>
      <c r="P18" s="8">
        <v>1</v>
      </c>
      <c r="Q18" s="9">
        <v>1</v>
      </c>
      <c r="R18" s="6">
        <v>1</v>
      </c>
      <c r="S18" s="6">
        <v>1</v>
      </c>
      <c r="T18" s="6">
        <v>2</v>
      </c>
      <c r="U18" s="6">
        <v>1</v>
      </c>
      <c r="V18" s="6">
        <v>1</v>
      </c>
      <c r="W18" s="6">
        <v>2</v>
      </c>
      <c r="X18" s="6">
        <v>2</v>
      </c>
      <c r="Y18" s="6">
        <v>2</v>
      </c>
      <c r="Z18" s="6">
        <v>2</v>
      </c>
      <c r="AA18" s="10">
        <f t="shared" si="0"/>
        <v>38</v>
      </c>
      <c r="AB18">
        <f t="shared" si="1"/>
        <v>2</v>
      </c>
      <c r="AC18">
        <f t="shared" si="2"/>
        <v>1.375</v>
      </c>
      <c r="AD18">
        <f t="shared" si="3"/>
        <v>2</v>
      </c>
    </row>
    <row r="19" spans="1:30" ht="13" customHeight="1" x14ac:dyDescent="0.35">
      <c r="A19" s="4">
        <v>16</v>
      </c>
      <c r="B19" s="5" t="s">
        <v>24</v>
      </c>
      <c r="C19" s="6">
        <v>2</v>
      </c>
      <c r="D19" s="6">
        <v>2</v>
      </c>
      <c r="E19" s="6">
        <v>2</v>
      </c>
      <c r="F19" s="6">
        <v>2</v>
      </c>
      <c r="G19" s="6">
        <v>1</v>
      </c>
      <c r="H19" s="7">
        <v>2</v>
      </c>
      <c r="I19" s="8">
        <v>1</v>
      </c>
      <c r="J19" s="9">
        <v>2</v>
      </c>
      <c r="K19" s="6">
        <v>1</v>
      </c>
      <c r="L19" s="6">
        <v>1</v>
      </c>
      <c r="M19" s="6">
        <v>2</v>
      </c>
      <c r="N19" s="6">
        <v>1</v>
      </c>
      <c r="O19" s="7">
        <v>1</v>
      </c>
      <c r="P19" s="8">
        <v>2</v>
      </c>
      <c r="Q19" s="9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2</v>
      </c>
      <c r="Y19" s="6">
        <v>2</v>
      </c>
      <c r="Z19" s="6">
        <v>1</v>
      </c>
      <c r="AA19" s="10">
        <f t="shared" si="0"/>
        <v>34</v>
      </c>
      <c r="AB19">
        <f t="shared" si="1"/>
        <v>2</v>
      </c>
      <c r="AC19">
        <f t="shared" si="2"/>
        <v>1.25</v>
      </c>
      <c r="AD19">
        <f t="shared" si="3"/>
        <v>1.5</v>
      </c>
    </row>
    <row r="20" spans="1:30" ht="15.5" x14ac:dyDescent="0.35">
      <c r="A20" s="4">
        <v>17</v>
      </c>
      <c r="B20" s="5" t="s">
        <v>25</v>
      </c>
      <c r="C20" s="6">
        <v>2</v>
      </c>
      <c r="D20" s="6">
        <v>2</v>
      </c>
      <c r="E20" s="6">
        <v>2</v>
      </c>
      <c r="F20" s="6">
        <v>2</v>
      </c>
      <c r="G20" s="6">
        <v>2</v>
      </c>
      <c r="H20" s="7">
        <v>2</v>
      </c>
      <c r="I20" s="8">
        <v>1</v>
      </c>
      <c r="J20" s="9">
        <v>2</v>
      </c>
      <c r="K20" s="6">
        <v>1</v>
      </c>
      <c r="L20" s="6">
        <v>1</v>
      </c>
      <c r="M20" s="6">
        <v>2</v>
      </c>
      <c r="N20" s="6">
        <v>1</v>
      </c>
      <c r="O20" s="7">
        <v>2</v>
      </c>
      <c r="P20" s="8">
        <v>1</v>
      </c>
      <c r="Q20" s="9">
        <v>1</v>
      </c>
      <c r="R20" s="6">
        <v>1</v>
      </c>
      <c r="S20" s="6">
        <v>1</v>
      </c>
      <c r="T20" s="6">
        <v>2</v>
      </c>
      <c r="U20" s="6">
        <v>1</v>
      </c>
      <c r="V20" s="6">
        <v>1</v>
      </c>
      <c r="W20" s="6">
        <v>1</v>
      </c>
      <c r="X20" s="6">
        <v>1</v>
      </c>
      <c r="Y20" s="6">
        <v>2</v>
      </c>
      <c r="Z20" s="6">
        <v>1</v>
      </c>
      <c r="AA20" s="10">
        <f t="shared" si="0"/>
        <v>35</v>
      </c>
      <c r="AB20">
        <f t="shared" si="1"/>
        <v>2</v>
      </c>
      <c r="AC20">
        <f t="shared" si="2"/>
        <v>1.375</v>
      </c>
      <c r="AD20">
        <f t="shared" si="3"/>
        <v>1.25</v>
      </c>
    </row>
    <row r="21" spans="1:30" ht="15.5" x14ac:dyDescent="0.35">
      <c r="A21" s="4">
        <v>18</v>
      </c>
      <c r="B21" s="5" t="s">
        <v>26</v>
      </c>
      <c r="C21" s="6">
        <v>2</v>
      </c>
      <c r="D21" s="6">
        <v>2</v>
      </c>
      <c r="E21" s="6">
        <v>2</v>
      </c>
      <c r="F21" s="6">
        <v>2</v>
      </c>
      <c r="G21" s="6">
        <v>1</v>
      </c>
      <c r="H21" s="7">
        <v>2</v>
      </c>
      <c r="I21" s="8">
        <v>1</v>
      </c>
      <c r="J21" s="9">
        <v>2</v>
      </c>
      <c r="K21" s="6">
        <v>1</v>
      </c>
      <c r="L21" s="6">
        <v>1</v>
      </c>
      <c r="M21" s="6">
        <v>2</v>
      </c>
      <c r="N21" s="6">
        <v>1</v>
      </c>
      <c r="O21" s="7">
        <v>1</v>
      </c>
      <c r="P21" s="8">
        <v>1</v>
      </c>
      <c r="Q21" s="9">
        <v>2</v>
      </c>
      <c r="R21" s="6">
        <v>1</v>
      </c>
      <c r="S21" s="6">
        <v>1</v>
      </c>
      <c r="T21" s="6">
        <v>2</v>
      </c>
      <c r="U21" s="6">
        <v>1</v>
      </c>
      <c r="V21" s="6">
        <v>1</v>
      </c>
      <c r="W21" s="6">
        <v>1</v>
      </c>
      <c r="X21" s="6">
        <v>2</v>
      </c>
      <c r="Y21" s="6">
        <v>2</v>
      </c>
      <c r="Z21" s="6">
        <v>2</v>
      </c>
      <c r="AA21" s="10">
        <f t="shared" si="0"/>
        <v>36</v>
      </c>
      <c r="AB21">
        <f t="shared" si="1"/>
        <v>2</v>
      </c>
      <c r="AC21">
        <f t="shared" si="2"/>
        <v>1.3125</v>
      </c>
      <c r="AD21">
        <f t="shared" si="3"/>
        <v>1.75</v>
      </c>
    </row>
    <row r="22" spans="1:30" ht="16.5" customHeight="1" x14ac:dyDescent="0.35">
      <c r="A22" s="4">
        <v>19</v>
      </c>
      <c r="B22" s="5" t="s">
        <v>27</v>
      </c>
      <c r="C22" s="6">
        <v>2</v>
      </c>
      <c r="D22" s="6">
        <v>2</v>
      </c>
      <c r="E22" s="6">
        <v>2</v>
      </c>
      <c r="F22" s="6">
        <v>2</v>
      </c>
      <c r="G22" s="6">
        <v>2</v>
      </c>
      <c r="H22" s="7">
        <v>2</v>
      </c>
      <c r="I22" s="8">
        <v>2</v>
      </c>
      <c r="J22" s="9">
        <v>2</v>
      </c>
      <c r="K22" s="6">
        <v>1</v>
      </c>
      <c r="L22" s="6">
        <v>1</v>
      </c>
      <c r="M22" s="6">
        <v>2</v>
      </c>
      <c r="N22" s="6">
        <v>1</v>
      </c>
      <c r="O22" s="7">
        <v>1</v>
      </c>
      <c r="P22" s="8">
        <v>2</v>
      </c>
      <c r="Q22" s="9">
        <v>1</v>
      </c>
      <c r="R22" s="6">
        <v>2</v>
      </c>
      <c r="S22" s="6">
        <v>1</v>
      </c>
      <c r="T22" s="6">
        <v>2</v>
      </c>
      <c r="U22" s="6">
        <v>1</v>
      </c>
      <c r="V22" s="6">
        <v>1</v>
      </c>
      <c r="W22" s="6">
        <v>1</v>
      </c>
      <c r="X22" s="6">
        <v>2</v>
      </c>
      <c r="Y22" s="6">
        <v>2</v>
      </c>
      <c r="Z22" s="6">
        <v>1</v>
      </c>
      <c r="AA22" s="10">
        <f t="shared" si="0"/>
        <v>38</v>
      </c>
      <c r="AB22">
        <f t="shared" si="1"/>
        <v>2</v>
      </c>
      <c r="AC22">
        <f t="shared" si="2"/>
        <v>1.5</v>
      </c>
      <c r="AD22">
        <f t="shared" si="3"/>
        <v>1.5</v>
      </c>
    </row>
    <row r="23" spans="1:30" ht="15.5" x14ac:dyDescent="0.35">
      <c r="A23" s="4">
        <v>20</v>
      </c>
      <c r="B23" s="5" t="s">
        <v>28</v>
      </c>
      <c r="C23" s="6">
        <v>2</v>
      </c>
      <c r="D23" s="6">
        <v>2</v>
      </c>
      <c r="E23" s="6">
        <v>2</v>
      </c>
      <c r="F23" s="6">
        <v>2</v>
      </c>
      <c r="G23" s="6">
        <v>1</v>
      </c>
      <c r="H23" s="7">
        <v>2</v>
      </c>
      <c r="I23" s="8">
        <v>2</v>
      </c>
      <c r="J23" s="9">
        <v>2</v>
      </c>
      <c r="K23" s="6">
        <v>1</v>
      </c>
      <c r="L23" s="6">
        <v>1</v>
      </c>
      <c r="M23" s="6">
        <v>2</v>
      </c>
      <c r="N23" s="6">
        <v>1</v>
      </c>
      <c r="O23" s="7">
        <v>1</v>
      </c>
      <c r="P23" s="8">
        <v>2</v>
      </c>
      <c r="Q23" s="9">
        <v>2</v>
      </c>
      <c r="R23" s="6">
        <v>1</v>
      </c>
      <c r="S23" s="6">
        <v>2</v>
      </c>
      <c r="T23" s="6">
        <v>2</v>
      </c>
      <c r="U23" s="6">
        <v>1</v>
      </c>
      <c r="V23" s="6">
        <v>1</v>
      </c>
      <c r="W23" s="6">
        <v>1</v>
      </c>
      <c r="X23" s="6">
        <v>2</v>
      </c>
      <c r="Y23" s="6">
        <v>2</v>
      </c>
      <c r="Z23" s="6">
        <v>1</v>
      </c>
      <c r="AA23" s="10">
        <f t="shared" si="0"/>
        <v>38</v>
      </c>
      <c r="AB23">
        <f t="shared" si="1"/>
        <v>2</v>
      </c>
      <c r="AC23">
        <f t="shared" si="2"/>
        <v>1.5</v>
      </c>
      <c r="AD23">
        <f t="shared" si="3"/>
        <v>1.5</v>
      </c>
    </row>
    <row r="24" spans="1:30" ht="15.5" x14ac:dyDescent="0.35">
      <c r="A24" s="4">
        <v>21</v>
      </c>
      <c r="B24" s="5" t="s">
        <v>29</v>
      </c>
      <c r="C24" s="6">
        <v>2</v>
      </c>
      <c r="D24" s="6">
        <v>2</v>
      </c>
      <c r="E24" s="6">
        <v>2</v>
      </c>
      <c r="F24" s="6">
        <v>2</v>
      </c>
      <c r="G24" s="6">
        <v>1</v>
      </c>
      <c r="H24" s="7">
        <v>1</v>
      </c>
      <c r="I24" s="8">
        <v>1</v>
      </c>
      <c r="J24" s="9">
        <v>2</v>
      </c>
      <c r="K24" s="6">
        <v>1</v>
      </c>
      <c r="L24" s="6">
        <v>1</v>
      </c>
      <c r="M24" s="6">
        <v>2</v>
      </c>
      <c r="N24" s="6">
        <v>1</v>
      </c>
      <c r="O24" s="7">
        <v>1</v>
      </c>
      <c r="P24" s="8">
        <v>2</v>
      </c>
      <c r="Q24" s="9">
        <v>1</v>
      </c>
      <c r="R24" s="6">
        <v>1</v>
      </c>
      <c r="S24" s="6">
        <v>1</v>
      </c>
      <c r="T24" s="6">
        <v>2</v>
      </c>
      <c r="U24" s="6">
        <v>1</v>
      </c>
      <c r="V24" s="6">
        <v>1</v>
      </c>
      <c r="W24" s="6">
        <v>1</v>
      </c>
      <c r="X24" s="6">
        <v>2</v>
      </c>
      <c r="Y24" s="6">
        <v>2</v>
      </c>
      <c r="Z24" s="6">
        <v>1</v>
      </c>
      <c r="AA24" s="10">
        <f t="shared" si="0"/>
        <v>34</v>
      </c>
      <c r="AB24">
        <f t="shared" si="1"/>
        <v>2</v>
      </c>
      <c r="AC24">
        <f t="shared" si="2"/>
        <v>1.25</v>
      </c>
      <c r="AD24">
        <f t="shared" si="3"/>
        <v>1.5</v>
      </c>
    </row>
    <row r="25" spans="1:30" ht="15.5" x14ac:dyDescent="0.35">
      <c r="A25" s="4">
        <v>22</v>
      </c>
      <c r="B25" s="5" t="s">
        <v>30</v>
      </c>
      <c r="C25" s="6">
        <v>2</v>
      </c>
      <c r="D25" s="6">
        <v>2</v>
      </c>
      <c r="E25" s="6">
        <v>2</v>
      </c>
      <c r="F25" s="6">
        <v>2</v>
      </c>
      <c r="G25" s="6">
        <v>2</v>
      </c>
      <c r="H25" s="7">
        <v>2</v>
      </c>
      <c r="I25" s="8">
        <v>1</v>
      </c>
      <c r="J25" s="9">
        <v>2</v>
      </c>
      <c r="K25" s="6">
        <v>1</v>
      </c>
      <c r="L25" s="6">
        <v>1</v>
      </c>
      <c r="M25" s="6">
        <v>2</v>
      </c>
      <c r="N25" s="6">
        <v>1</v>
      </c>
      <c r="O25" s="7">
        <v>1</v>
      </c>
      <c r="P25" s="8">
        <v>1</v>
      </c>
      <c r="Q25" s="9">
        <v>1</v>
      </c>
      <c r="R25" s="6">
        <v>1</v>
      </c>
      <c r="S25" s="6">
        <v>1</v>
      </c>
      <c r="T25" s="6">
        <v>2</v>
      </c>
      <c r="U25" s="6">
        <v>1</v>
      </c>
      <c r="V25" s="6">
        <v>1</v>
      </c>
      <c r="W25" s="6">
        <v>1</v>
      </c>
      <c r="X25" s="6">
        <v>2</v>
      </c>
      <c r="Y25" s="6">
        <v>2</v>
      </c>
      <c r="Z25" s="6">
        <v>1</v>
      </c>
      <c r="AA25" s="10">
        <f t="shared" si="0"/>
        <v>35</v>
      </c>
      <c r="AB25">
        <f t="shared" si="1"/>
        <v>2</v>
      </c>
      <c r="AC25">
        <f t="shared" si="2"/>
        <v>1.3125</v>
      </c>
      <c r="AD25">
        <f t="shared" si="3"/>
        <v>1.5</v>
      </c>
    </row>
    <row r="26" spans="1:30" ht="15.5" x14ac:dyDescent="0.35">
      <c r="A26" s="4">
        <v>23</v>
      </c>
      <c r="B26" s="5" t="s">
        <v>31</v>
      </c>
      <c r="C26" s="6">
        <v>2</v>
      </c>
      <c r="D26" s="6">
        <v>2</v>
      </c>
      <c r="E26" s="6">
        <v>2</v>
      </c>
      <c r="F26" s="6">
        <v>2</v>
      </c>
      <c r="G26" s="6">
        <v>2</v>
      </c>
      <c r="H26" s="7">
        <v>2</v>
      </c>
      <c r="I26" s="8">
        <v>1</v>
      </c>
      <c r="J26" s="9">
        <v>2</v>
      </c>
      <c r="K26" s="6">
        <v>1</v>
      </c>
      <c r="L26" s="6">
        <v>1</v>
      </c>
      <c r="M26" s="6">
        <v>2</v>
      </c>
      <c r="N26" s="6">
        <v>1</v>
      </c>
      <c r="O26" s="7">
        <v>1</v>
      </c>
      <c r="P26" s="8">
        <v>1</v>
      </c>
      <c r="Q26" s="9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2</v>
      </c>
      <c r="Y26" s="6">
        <v>2</v>
      </c>
      <c r="Z26" s="6">
        <v>1</v>
      </c>
      <c r="AA26" s="10">
        <f t="shared" si="0"/>
        <v>34</v>
      </c>
      <c r="AB26">
        <f t="shared" si="1"/>
        <v>2</v>
      </c>
      <c r="AC26">
        <f t="shared" si="2"/>
        <v>1.25</v>
      </c>
      <c r="AD26">
        <f t="shared" si="3"/>
        <v>1.5</v>
      </c>
    </row>
    <row r="27" spans="1:30" ht="15.5" x14ac:dyDescent="0.35">
      <c r="A27" s="4">
        <v>24</v>
      </c>
      <c r="B27" s="5" t="s">
        <v>32</v>
      </c>
      <c r="C27" s="6">
        <v>1</v>
      </c>
      <c r="D27" s="6">
        <v>2</v>
      </c>
      <c r="E27" s="6">
        <v>2</v>
      </c>
      <c r="F27" s="6">
        <v>2</v>
      </c>
      <c r="G27" s="6">
        <v>1</v>
      </c>
      <c r="H27" s="7">
        <v>2</v>
      </c>
      <c r="I27" s="8">
        <v>2</v>
      </c>
      <c r="J27" s="9">
        <v>2</v>
      </c>
      <c r="K27" s="6">
        <v>1</v>
      </c>
      <c r="L27" s="6">
        <v>2</v>
      </c>
      <c r="M27" s="6">
        <v>1</v>
      </c>
      <c r="N27" s="6">
        <v>2</v>
      </c>
      <c r="O27" s="7">
        <v>1</v>
      </c>
      <c r="P27" s="8">
        <v>2</v>
      </c>
      <c r="Q27" s="9">
        <v>1</v>
      </c>
      <c r="R27" s="6">
        <v>1</v>
      </c>
      <c r="S27" s="6">
        <v>1</v>
      </c>
      <c r="T27" s="6">
        <v>2</v>
      </c>
      <c r="U27" s="6">
        <v>1</v>
      </c>
      <c r="V27" s="6">
        <v>1</v>
      </c>
      <c r="W27" s="6">
        <v>2</v>
      </c>
      <c r="X27" s="6">
        <v>1</v>
      </c>
      <c r="Y27" s="6">
        <v>2</v>
      </c>
      <c r="Z27" s="6">
        <v>1</v>
      </c>
      <c r="AA27" s="10">
        <f t="shared" si="0"/>
        <v>36</v>
      </c>
      <c r="AB27">
        <f t="shared" si="1"/>
        <v>1.75</v>
      </c>
      <c r="AC27">
        <f t="shared" si="2"/>
        <v>1.4375</v>
      </c>
      <c r="AD27">
        <f t="shared" si="3"/>
        <v>1.5</v>
      </c>
    </row>
    <row r="28" spans="1:30" ht="16" customHeight="1" x14ac:dyDescent="0.35">
      <c r="A28" s="4">
        <v>25</v>
      </c>
      <c r="B28" s="5" t="s">
        <v>33</v>
      </c>
      <c r="C28" s="6">
        <v>2</v>
      </c>
      <c r="D28" s="6">
        <v>1</v>
      </c>
      <c r="E28" s="6">
        <v>2</v>
      </c>
      <c r="F28" s="6">
        <v>2</v>
      </c>
      <c r="G28" s="6">
        <v>2</v>
      </c>
      <c r="H28" s="7">
        <v>2</v>
      </c>
      <c r="I28" s="8">
        <v>1</v>
      </c>
      <c r="J28" s="9">
        <v>2</v>
      </c>
      <c r="K28" s="6">
        <v>1</v>
      </c>
      <c r="L28" s="6">
        <v>1</v>
      </c>
      <c r="M28" s="6">
        <v>2</v>
      </c>
      <c r="N28" s="6">
        <v>1</v>
      </c>
      <c r="O28" s="7">
        <v>1</v>
      </c>
      <c r="P28" s="8">
        <v>1</v>
      </c>
      <c r="Q28" s="9">
        <v>1</v>
      </c>
      <c r="R28" s="6">
        <v>1</v>
      </c>
      <c r="S28" s="6">
        <v>1</v>
      </c>
      <c r="T28" s="6">
        <v>2</v>
      </c>
      <c r="U28" s="6">
        <v>1</v>
      </c>
      <c r="V28" s="6">
        <v>1</v>
      </c>
      <c r="W28" s="6">
        <v>1</v>
      </c>
      <c r="X28" s="6">
        <v>2</v>
      </c>
      <c r="Y28" s="6">
        <v>2</v>
      </c>
      <c r="Z28" s="6">
        <v>1</v>
      </c>
      <c r="AA28" s="10">
        <f t="shared" si="0"/>
        <v>34</v>
      </c>
      <c r="AB28">
        <f t="shared" si="1"/>
        <v>1.75</v>
      </c>
      <c r="AC28">
        <f t="shared" si="2"/>
        <v>1.3125</v>
      </c>
      <c r="AD28">
        <f t="shared" si="3"/>
        <v>1.5</v>
      </c>
    </row>
    <row r="29" spans="1:30" ht="15.5" x14ac:dyDescent="0.35">
      <c r="A29" s="4">
        <v>26</v>
      </c>
      <c r="B29" s="5" t="s">
        <v>34</v>
      </c>
      <c r="C29" s="6">
        <v>2</v>
      </c>
      <c r="D29" s="6">
        <v>1</v>
      </c>
      <c r="E29" s="6">
        <v>2</v>
      </c>
      <c r="F29" s="6">
        <v>2</v>
      </c>
      <c r="G29" s="6">
        <v>2</v>
      </c>
      <c r="H29" s="7">
        <v>2</v>
      </c>
      <c r="I29" s="8">
        <v>2</v>
      </c>
      <c r="J29" s="9">
        <v>2</v>
      </c>
      <c r="K29" s="6">
        <v>1</v>
      </c>
      <c r="L29" s="6">
        <v>2</v>
      </c>
      <c r="M29" s="6">
        <v>1</v>
      </c>
      <c r="N29" s="6">
        <v>1</v>
      </c>
      <c r="O29" s="7">
        <v>1</v>
      </c>
      <c r="P29" s="8">
        <v>2</v>
      </c>
      <c r="Q29" s="9">
        <v>1</v>
      </c>
      <c r="R29" s="6">
        <v>1</v>
      </c>
      <c r="S29" s="6">
        <v>1</v>
      </c>
      <c r="T29" s="6">
        <v>2</v>
      </c>
      <c r="U29" s="6">
        <v>1</v>
      </c>
      <c r="V29" s="6">
        <v>1</v>
      </c>
      <c r="W29" s="6">
        <v>2</v>
      </c>
      <c r="X29" s="6">
        <v>2</v>
      </c>
      <c r="Y29" s="6">
        <v>2</v>
      </c>
      <c r="Z29" s="6">
        <v>1</v>
      </c>
      <c r="AA29" s="10">
        <f t="shared" si="0"/>
        <v>37</v>
      </c>
      <c r="AB29">
        <f t="shared" si="1"/>
        <v>1.75</v>
      </c>
      <c r="AC29">
        <f t="shared" si="2"/>
        <v>1.4375</v>
      </c>
      <c r="AD29">
        <f t="shared" si="3"/>
        <v>1.75</v>
      </c>
    </row>
    <row r="30" spans="1:30" ht="15.5" x14ac:dyDescent="0.35">
      <c r="A30" s="4">
        <v>27</v>
      </c>
      <c r="B30" s="5" t="s">
        <v>35</v>
      </c>
      <c r="C30" s="6">
        <v>2</v>
      </c>
      <c r="D30" s="6">
        <v>2</v>
      </c>
      <c r="E30" s="6">
        <v>2</v>
      </c>
      <c r="F30" s="6">
        <v>2</v>
      </c>
      <c r="G30" s="6">
        <v>2</v>
      </c>
      <c r="H30" s="7">
        <v>2</v>
      </c>
      <c r="I30" s="8">
        <v>1</v>
      </c>
      <c r="J30" s="9">
        <v>2</v>
      </c>
      <c r="K30" s="6">
        <v>1</v>
      </c>
      <c r="L30" s="6">
        <v>1</v>
      </c>
      <c r="M30" s="6">
        <v>1</v>
      </c>
      <c r="N30" s="6">
        <v>1</v>
      </c>
      <c r="O30" s="7">
        <v>1</v>
      </c>
      <c r="P30" s="8">
        <v>1</v>
      </c>
      <c r="Q30" s="9">
        <v>1</v>
      </c>
      <c r="R30" s="6">
        <v>1</v>
      </c>
      <c r="S30" s="6">
        <v>1</v>
      </c>
      <c r="T30" s="6">
        <v>2</v>
      </c>
      <c r="U30" s="6">
        <v>1</v>
      </c>
      <c r="V30" s="6">
        <v>1</v>
      </c>
      <c r="W30" s="6">
        <v>2</v>
      </c>
      <c r="X30" s="6">
        <v>2</v>
      </c>
      <c r="Y30" s="6">
        <v>2</v>
      </c>
      <c r="Z30" s="6">
        <v>1</v>
      </c>
      <c r="AA30" s="10">
        <f t="shared" si="0"/>
        <v>35</v>
      </c>
      <c r="AB30">
        <f t="shared" si="1"/>
        <v>2</v>
      </c>
      <c r="AC30">
        <f t="shared" si="2"/>
        <v>1.25</v>
      </c>
      <c r="AD30">
        <f t="shared" si="3"/>
        <v>1.75</v>
      </c>
    </row>
    <row r="31" spans="1:30" ht="15.5" x14ac:dyDescent="0.35">
      <c r="A31" s="4">
        <v>28</v>
      </c>
      <c r="B31" s="5" t="s">
        <v>36</v>
      </c>
      <c r="C31" s="6">
        <v>2</v>
      </c>
      <c r="D31" s="6">
        <v>2</v>
      </c>
      <c r="E31" s="6">
        <v>2</v>
      </c>
      <c r="F31" s="6">
        <v>2</v>
      </c>
      <c r="G31" s="6">
        <v>1</v>
      </c>
      <c r="H31" s="7">
        <v>2</v>
      </c>
      <c r="I31" s="8">
        <v>1</v>
      </c>
      <c r="J31" s="9">
        <v>2</v>
      </c>
      <c r="K31" s="6">
        <v>1</v>
      </c>
      <c r="L31" s="6">
        <v>2</v>
      </c>
      <c r="M31" s="6">
        <v>2</v>
      </c>
      <c r="N31" s="6">
        <v>1</v>
      </c>
      <c r="O31" s="7">
        <v>1</v>
      </c>
      <c r="P31" s="8">
        <v>2</v>
      </c>
      <c r="Q31" s="9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2</v>
      </c>
      <c r="X31" s="6">
        <v>2</v>
      </c>
      <c r="Y31" s="6">
        <v>2</v>
      </c>
      <c r="Z31" s="6">
        <v>1</v>
      </c>
      <c r="AA31" s="10">
        <f t="shared" si="0"/>
        <v>36</v>
      </c>
      <c r="AB31">
        <f t="shared" si="1"/>
        <v>2</v>
      </c>
      <c r="AC31">
        <f t="shared" si="2"/>
        <v>1.3125</v>
      </c>
      <c r="AD31">
        <f t="shared" si="3"/>
        <v>1.75</v>
      </c>
    </row>
    <row r="32" spans="1:30" ht="16" customHeight="1" x14ac:dyDescent="0.35">
      <c r="A32" s="4">
        <v>29</v>
      </c>
      <c r="B32" s="5" t="s">
        <v>37</v>
      </c>
      <c r="C32" s="6">
        <v>2</v>
      </c>
      <c r="D32" s="6">
        <v>2</v>
      </c>
      <c r="E32" s="6">
        <v>2</v>
      </c>
      <c r="F32" s="6">
        <v>2</v>
      </c>
      <c r="G32" s="6">
        <v>2</v>
      </c>
      <c r="H32" s="7">
        <v>1</v>
      </c>
      <c r="I32" s="8">
        <v>2</v>
      </c>
      <c r="J32" s="9">
        <v>2</v>
      </c>
      <c r="K32" s="6">
        <v>1</v>
      </c>
      <c r="L32" s="6">
        <v>1</v>
      </c>
      <c r="M32" s="6">
        <v>1</v>
      </c>
      <c r="N32" s="6">
        <v>1</v>
      </c>
      <c r="O32" s="7">
        <v>2</v>
      </c>
      <c r="P32" s="8">
        <v>1</v>
      </c>
      <c r="Q32" s="9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2</v>
      </c>
      <c r="X32" s="6">
        <v>2</v>
      </c>
      <c r="Y32" s="6">
        <v>2</v>
      </c>
      <c r="Z32" s="6">
        <v>1</v>
      </c>
      <c r="AA32" s="10">
        <f t="shared" si="0"/>
        <v>35</v>
      </c>
      <c r="AB32">
        <f t="shared" si="1"/>
        <v>2</v>
      </c>
      <c r="AC32">
        <f t="shared" si="2"/>
        <v>1.25</v>
      </c>
      <c r="AD32">
        <f t="shared" si="3"/>
        <v>1.75</v>
      </c>
    </row>
    <row r="33" spans="1:30" ht="15.5" x14ac:dyDescent="0.35">
      <c r="A33" s="4">
        <v>30</v>
      </c>
      <c r="B33" s="5" t="s">
        <v>38</v>
      </c>
      <c r="C33" s="6">
        <v>2</v>
      </c>
      <c r="D33" s="6">
        <v>1</v>
      </c>
      <c r="E33" s="6">
        <v>1</v>
      </c>
      <c r="F33" s="6">
        <v>2</v>
      </c>
      <c r="G33" s="6">
        <v>2</v>
      </c>
      <c r="H33" s="7">
        <v>2</v>
      </c>
      <c r="I33" s="8">
        <v>1</v>
      </c>
      <c r="J33" s="9">
        <v>2</v>
      </c>
      <c r="K33" s="6">
        <v>1</v>
      </c>
      <c r="L33" s="6">
        <v>1</v>
      </c>
      <c r="M33" s="6">
        <v>2</v>
      </c>
      <c r="N33" s="6">
        <v>1</v>
      </c>
      <c r="O33" s="7">
        <v>1</v>
      </c>
      <c r="P33" s="8">
        <v>2</v>
      </c>
      <c r="Q33" s="9">
        <v>1</v>
      </c>
      <c r="R33" s="6">
        <v>1</v>
      </c>
      <c r="S33" s="6">
        <v>1</v>
      </c>
      <c r="T33" s="6">
        <v>2</v>
      </c>
      <c r="U33" s="6">
        <v>1</v>
      </c>
      <c r="V33" s="6">
        <v>1</v>
      </c>
      <c r="W33" s="6">
        <v>1</v>
      </c>
      <c r="X33" s="6">
        <v>2</v>
      </c>
      <c r="Y33" s="6">
        <v>2</v>
      </c>
      <c r="Z33" s="6">
        <v>1</v>
      </c>
      <c r="AA33" s="10">
        <f t="shared" si="0"/>
        <v>34</v>
      </c>
      <c r="AB33">
        <f t="shared" si="1"/>
        <v>1.5</v>
      </c>
      <c r="AC33">
        <f t="shared" si="2"/>
        <v>1.375</v>
      </c>
      <c r="AD33">
        <f t="shared" si="3"/>
        <v>1.5</v>
      </c>
    </row>
    <row r="34" spans="1:30" ht="15.5" x14ac:dyDescent="0.35">
      <c r="A34" s="4">
        <v>31</v>
      </c>
      <c r="B34" s="5" t="s">
        <v>39</v>
      </c>
      <c r="C34" s="6">
        <v>2</v>
      </c>
      <c r="D34" s="6">
        <v>2</v>
      </c>
      <c r="E34" s="6">
        <v>2</v>
      </c>
      <c r="F34" s="6">
        <v>2</v>
      </c>
      <c r="G34" s="6">
        <v>2</v>
      </c>
      <c r="H34" s="7">
        <v>2</v>
      </c>
      <c r="I34" s="8">
        <v>1</v>
      </c>
      <c r="J34" s="9">
        <v>2</v>
      </c>
      <c r="K34" s="6">
        <v>1</v>
      </c>
      <c r="L34" s="6">
        <v>2</v>
      </c>
      <c r="M34" s="6">
        <v>1</v>
      </c>
      <c r="N34" s="6">
        <v>1</v>
      </c>
      <c r="O34" s="7">
        <v>1</v>
      </c>
      <c r="P34" s="8">
        <v>2</v>
      </c>
      <c r="Q34" s="9">
        <v>1</v>
      </c>
      <c r="R34" s="6">
        <v>1</v>
      </c>
      <c r="S34" s="6">
        <v>1</v>
      </c>
      <c r="T34" s="6">
        <v>2</v>
      </c>
      <c r="U34" s="6">
        <v>1</v>
      </c>
      <c r="V34" s="6">
        <v>1</v>
      </c>
      <c r="W34" s="6">
        <v>2</v>
      </c>
      <c r="X34" s="6">
        <v>2</v>
      </c>
      <c r="Y34" s="6">
        <v>2</v>
      </c>
      <c r="Z34" s="6">
        <v>1</v>
      </c>
      <c r="AA34" s="10">
        <f t="shared" si="0"/>
        <v>37</v>
      </c>
      <c r="AB34">
        <f t="shared" si="1"/>
        <v>2</v>
      </c>
      <c r="AC34">
        <f t="shared" si="2"/>
        <v>1.375</v>
      </c>
      <c r="AD34">
        <f t="shared" si="3"/>
        <v>1.75</v>
      </c>
    </row>
    <row r="35" spans="1:30" ht="15.5" x14ac:dyDescent="0.35">
      <c r="A35" s="4">
        <v>32</v>
      </c>
      <c r="B35" s="5" t="s">
        <v>40</v>
      </c>
      <c r="C35" s="6">
        <v>2</v>
      </c>
      <c r="D35" s="6">
        <v>1</v>
      </c>
      <c r="E35" s="6">
        <v>2</v>
      </c>
      <c r="F35" s="6">
        <v>2</v>
      </c>
      <c r="G35" s="6">
        <v>2</v>
      </c>
      <c r="H35" s="7">
        <v>2</v>
      </c>
      <c r="I35" s="8">
        <v>1</v>
      </c>
      <c r="J35" s="9">
        <v>2</v>
      </c>
      <c r="K35" s="6">
        <v>1</v>
      </c>
      <c r="L35" s="6">
        <v>2</v>
      </c>
      <c r="M35" s="6">
        <v>2</v>
      </c>
      <c r="N35" s="6">
        <v>1</v>
      </c>
      <c r="O35" s="7">
        <v>1</v>
      </c>
      <c r="P35" s="8">
        <v>1</v>
      </c>
      <c r="Q35" s="9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2</v>
      </c>
      <c r="Y35" s="6">
        <v>2</v>
      </c>
      <c r="Z35" s="6">
        <v>1</v>
      </c>
      <c r="AA35" s="10">
        <f t="shared" si="0"/>
        <v>34</v>
      </c>
      <c r="AB35">
        <f t="shared" si="1"/>
        <v>1.75</v>
      </c>
      <c r="AC35">
        <f t="shared" si="2"/>
        <v>1.3125</v>
      </c>
      <c r="AD35">
        <f t="shared" si="3"/>
        <v>1.5</v>
      </c>
    </row>
    <row r="36" spans="1:30" ht="15.5" x14ac:dyDescent="0.35">
      <c r="A36" s="4">
        <v>33</v>
      </c>
      <c r="B36" s="5" t="s">
        <v>41</v>
      </c>
      <c r="C36" s="6">
        <v>2</v>
      </c>
      <c r="D36" s="6">
        <v>2</v>
      </c>
      <c r="E36" s="6">
        <v>2</v>
      </c>
      <c r="F36" s="6">
        <v>2</v>
      </c>
      <c r="G36" s="6">
        <v>1</v>
      </c>
      <c r="H36" s="7">
        <v>2</v>
      </c>
      <c r="I36" s="8">
        <v>2</v>
      </c>
      <c r="J36" s="9">
        <v>2</v>
      </c>
      <c r="K36" s="6">
        <v>1</v>
      </c>
      <c r="L36" s="6">
        <v>2</v>
      </c>
      <c r="M36" s="6">
        <v>1</v>
      </c>
      <c r="N36" s="6">
        <v>1</v>
      </c>
      <c r="O36" s="7">
        <v>1</v>
      </c>
      <c r="P36" s="8">
        <v>1</v>
      </c>
      <c r="Q36" s="9">
        <v>1</v>
      </c>
      <c r="R36" s="6">
        <v>1</v>
      </c>
      <c r="S36" s="6">
        <v>1</v>
      </c>
      <c r="T36" s="6">
        <v>2</v>
      </c>
      <c r="U36" s="6">
        <v>1</v>
      </c>
      <c r="V36" s="6">
        <v>1</v>
      </c>
      <c r="W36" s="6">
        <v>2</v>
      </c>
      <c r="X36" s="6">
        <v>2</v>
      </c>
      <c r="Y36" s="6">
        <v>2</v>
      </c>
      <c r="Z36" s="6">
        <v>1</v>
      </c>
      <c r="AA36" s="10">
        <f t="shared" si="0"/>
        <v>36</v>
      </c>
      <c r="AB36">
        <f t="shared" si="1"/>
        <v>2</v>
      </c>
      <c r="AC36">
        <f t="shared" si="2"/>
        <v>1.3125</v>
      </c>
      <c r="AD36">
        <f t="shared" si="3"/>
        <v>1.75</v>
      </c>
    </row>
    <row r="37" spans="1:30" ht="15.5" x14ac:dyDescent="0.35">
      <c r="A37" s="4">
        <v>34</v>
      </c>
      <c r="B37" s="5" t="s">
        <v>42</v>
      </c>
      <c r="C37" s="6">
        <v>1</v>
      </c>
      <c r="D37" s="6">
        <v>1</v>
      </c>
      <c r="E37" s="6">
        <v>2</v>
      </c>
      <c r="F37" s="6">
        <v>2</v>
      </c>
      <c r="G37" s="6">
        <v>2</v>
      </c>
      <c r="H37" s="7">
        <v>1</v>
      </c>
      <c r="I37" s="8">
        <v>1</v>
      </c>
      <c r="J37" s="9">
        <v>2</v>
      </c>
      <c r="K37" s="6">
        <v>1</v>
      </c>
      <c r="L37" s="6">
        <v>1</v>
      </c>
      <c r="M37" s="6">
        <v>2</v>
      </c>
      <c r="N37" s="6">
        <v>1</v>
      </c>
      <c r="O37" s="7">
        <v>1</v>
      </c>
      <c r="P37" s="8">
        <v>2</v>
      </c>
      <c r="Q37" s="9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2</v>
      </c>
      <c r="Y37" s="6">
        <v>2</v>
      </c>
      <c r="Z37" s="6">
        <v>1</v>
      </c>
      <c r="AA37" s="10">
        <f t="shared" si="0"/>
        <v>32</v>
      </c>
      <c r="AB37">
        <f t="shared" si="1"/>
        <v>1.5</v>
      </c>
      <c r="AC37">
        <f t="shared" si="2"/>
        <v>1.25</v>
      </c>
      <c r="AD37">
        <f t="shared" si="3"/>
        <v>1.5</v>
      </c>
    </row>
    <row r="38" spans="1:30" ht="15.5" x14ac:dyDescent="0.35">
      <c r="A38" s="4">
        <v>35</v>
      </c>
      <c r="B38" s="5" t="s">
        <v>43</v>
      </c>
      <c r="C38" s="6">
        <v>2</v>
      </c>
      <c r="D38" s="6">
        <v>2</v>
      </c>
      <c r="E38" s="6">
        <v>2</v>
      </c>
      <c r="F38" s="6">
        <v>2</v>
      </c>
      <c r="G38" s="6">
        <v>2</v>
      </c>
      <c r="H38" s="7">
        <v>2</v>
      </c>
      <c r="I38" s="8">
        <v>1</v>
      </c>
      <c r="J38" s="9">
        <v>2</v>
      </c>
      <c r="K38" s="6">
        <v>1</v>
      </c>
      <c r="L38" s="6">
        <v>1</v>
      </c>
      <c r="M38" s="6">
        <v>2</v>
      </c>
      <c r="N38" s="6">
        <v>1</v>
      </c>
      <c r="O38" s="7">
        <v>1</v>
      </c>
      <c r="P38" s="8">
        <v>1</v>
      </c>
      <c r="Q38" s="9">
        <v>1</v>
      </c>
      <c r="R38" s="6">
        <v>1</v>
      </c>
      <c r="S38" s="6">
        <v>1</v>
      </c>
      <c r="T38" s="6">
        <v>2</v>
      </c>
      <c r="U38" s="6">
        <v>1</v>
      </c>
      <c r="V38" s="6">
        <v>1</v>
      </c>
      <c r="W38" s="6">
        <v>1</v>
      </c>
      <c r="X38" s="6">
        <v>2</v>
      </c>
      <c r="Y38" s="6">
        <v>2</v>
      </c>
      <c r="Z38" s="6">
        <v>1</v>
      </c>
      <c r="AA38" s="10">
        <f t="shared" si="0"/>
        <v>35</v>
      </c>
      <c r="AB38">
        <f t="shared" si="1"/>
        <v>2</v>
      </c>
      <c r="AC38">
        <f t="shared" si="2"/>
        <v>1.3125</v>
      </c>
      <c r="AD38">
        <f t="shared" si="3"/>
        <v>1.5</v>
      </c>
    </row>
    <row r="39" spans="1:30" ht="15.5" x14ac:dyDescent="0.35">
      <c r="A39" s="11">
        <v>36</v>
      </c>
      <c r="B39" s="12" t="s">
        <v>44</v>
      </c>
      <c r="C39" s="13">
        <v>2</v>
      </c>
      <c r="D39" s="13">
        <v>2</v>
      </c>
      <c r="E39" s="13">
        <v>2</v>
      </c>
      <c r="F39" s="13">
        <v>2</v>
      </c>
      <c r="G39" s="13">
        <v>1</v>
      </c>
      <c r="H39" s="13">
        <v>2</v>
      </c>
      <c r="I39" s="14">
        <v>1</v>
      </c>
      <c r="J39" s="13">
        <v>2</v>
      </c>
      <c r="K39" s="13">
        <v>1</v>
      </c>
      <c r="L39" s="13">
        <v>1</v>
      </c>
      <c r="M39" s="13">
        <v>2</v>
      </c>
      <c r="N39" s="13">
        <v>1</v>
      </c>
      <c r="O39" s="13">
        <v>1</v>
      </c>
      <c r="P39" s="14">
        <v>2</v>
      </c>
      <c r="Q39" s="13">
        <v>1</v>
      </c>
      <c r="R39" s="13">
        <v>1</v>
      </c>
      <c r="S39" s="13">
        <v>1</v>
      </c>
      <c r="T39" s="13">
        <v>2</v>
      </c>
      <c r="U39" s="13">
        <v>1</v>
      </c>
      <c r="V39" s="13">
        <v>1</v>
      </c>
      <c r="W39" s="13">
        <v>1</v>
      </c>
      <c r="X39" s="13">
        <v>2</v>
      </c>
      <c r="Y39" s="13">
        <v>2</v>
      </c>
      <c r="Z39" s="13">
        <v>1</v>
      </c>
      <c r="AA39" s="15">
        <f t="shared" si="0"/>
        <v>35</v>
      </c>
      <c r="AB39">
        <f t="shared" si="1"/>
        <v>2</v>
      </c>
      <c r="AC39">
        <f t="shared" si="2"/>
        <v>1.3125</v>
      </c>
      <c r="AD39">
        <f t="shared" si="3"/>
        <v>1.5</v>
      </c>
    </row>
    <row r="40" spans="1:30" ht="15.5" x14ac:dyDescent="0.35">
      <c r="A40" s="52" t="s">
        <v>45</v>
      </c>
      <c r="B40" s="53"/>
      <c r="C40" s="16">
        <f>AVERAGE(C4:C39)</f>
        <v>1.8888888888888888</v>
      </c>
      <c r="D40" s="16">
        <f t="shared" ref="D40:AA40" si="4">AVERAGE(D4:D39)</f>
        <v>1.8055555555555556</v>
      </c>
      <c r="E40" s="16">
        <f t="shared" si="4"/>
        <v>1.9444444444444444</v>
      </c>
      <c r="F40" s="16">
        <f t="shared" si="4"/>
        <v>2</v>
      </c>
      <c r="G40" s="16">
        <f t="shared" si="4"/>
        <v>1.6388888888888888</v>
      </c>
      <c r="H40" s="16">
        <f t="shared" si="4"/>
        <v>1.8888888888888888</v>
      </c>
      <c r="I40" s="16">
        <f t="shared" si="4"/>
        <v>1.4722222222222223</v>
      </c>
      <c r="J40" s="16">
        <f t="shared" si="4"/>
        <v>2</v>
      </c>
      <c r="K40" s="16">
        <f t="shared" si="4"/>
        <v>1.0555555555555556</v>
      </c>
      <c r="L40" s="16">
        <f t="shared" si="4"/>
        <v>1.3611111111111112</v>
      </c>
      <c r="M40" s="16">
        <f t="shared" si="4"/>
        <v>1.6666666666666667</v>
      </c>
      <c r="N40" s="16">
        <f t="shared" si="4"/>
        <v>1.0833333333333333</v>
      </c>
      <c r="O40" s="16">
        <f t="shared" si="4"/>
        <v>1.2222222222222223</v>
      </c>
      <c r="P40" s="16">
        <f t="shared" si="4"/>
        <v>1.5833333333333333</v>
      </c>
      <c r="Q40" s="16">
        <f t="shared" si="4"/>
        <v>1.1111111111111112</v>
      </c>
      <c r="R40" s="16">
        <f t="shared" si="4"/>
        <v>1.1111111111111112</v>
      </c>
      <c r="S40" s="16">
        <f t="shared" si="4"/>
        <v>1.1388888888888888</v>
      </c>
      <c r="T40" s="16">
        <f t="shared" si="4"/>
        <v>1.7777777777777777</v>
      </c>
      <c r="U40" s="16">
        <f t="shared" si="4"/>
        <v>1.1111111111111112</v>
      </c>
      <c r="V40" s="16">
        <f t="shared" si="4"/>
        <v>1.1111111111111112</v>
      </c>
      <c r="W40" s="16">
        <f t="shared" si="4"/>
        <v>1.3611111111111112</v>
      </c>
      <c r="X40" s="16">
        <f t="shared" si="4"/>
        <v>1.9166666666666667</v>
      </c>
      <c r="Y40" s="16">
        <f t="shared" si="4"/>
        <v>2</v>
      </c>
      <c r="Z40" s="16">
        <f t="shared" si="4"/>
        <v>1.1666666666666667</v>
      </c>
      <c r="AA40" s="17">
        <f t="shared" si="4"/>
        <v>36.416666666666664</v>
      </c>
      <c r="AB40">
        <f t="shared" si="1"/>
        <v>1.9097222222222223</v>
      </c>
      <c r="AC40">
        <f t="shared" si="2"/>
        <v>1.3958333333333335</v>
      </c>
      <c r="AD40">
        <f t="shared" si="3"/>
        <v>1.6111111111111112</v>
      </c>
    </row>
    <row r="41" spans="1:30" ht="15.5" x14ac:dyDescent="0.35">
      <c r="A41" s="52" t="s">
        <v>46</v>
      </c>
      <c r="B41" s="53"/>
      <c r="C41" s="18">
        <f t="shared" ref="C41:AA41" si="5">SUM(C4:C39)</f>
        <v>68</v>
      </c>
      <c r="D41" s="18">
        <f t="shared" si="5"/>
        <v>65</v>
      </c>
      <c r="E41" s="18">
        <f t="shared" si="5"/>
        <v>70</v>
      </c>
      <c r="F41" s="18">
        <f t="shared" si="5"/>
        <v>72</v>
      </c>
      <c r="G41" s="18">
        <f t="shared" si="5"/>
        <v>59</v>
      </c>
      <c r="H41" s="18">
        <f t="shared" si="5"/>
        <v>68</v>
      </c>
      <c r="I41" s="18">
        <f t="shared" si="5"/>
        <v>53</v>
      </c>
      <c r="J41" s="18">
        <f t="shared" si="5"/>
        <v>72</v>
      </c>
      <c r="K41" s="18">
        <f t="shared" si="5"/>
        <v>38</v>
      </c>
      <c r="L41" s="18">
        <f t="shared" si="5"/>
        <v>49</v>
      </c>
      <c r="M41" s="18">
        <f t="shared" si="5"/>
        <v>60</v>
      </c>
      <c r="N41" s="18">
        <f t="shared" si="5"/>
        <v>39</v>
      </c>
      <c r="O41" s="18">
        <f t="shared" si="5"/>
        <v>44</v>
      </c>
      <c r="P41" s="18">
        <f t="shared" si="5"/>
        <v>57</v>
      </c>
      <c r="Q41" s="18">
        <f t="shared" si="5"/>
        <v>40</v>
      </c>
      <c r="R41" s="18">
        <f t="shared" si="5"/>
        <v>40</v>
      </c>
      <c r="S41" s="18">
        <f t="shared" si="5"/>
        <v>41</v>
      </c>
      <c r="T41" s="18">
        <f t="shared" si="5"/>
        <v>64</v>
      </c>
      <c r="U41" s="18">
        <f t="shared" si="5"/>
        <v>40</v>
      </c>
      <c r="V41" s="18">
        <f t="shared" si="5"/>
        <v>40</v>
      </c>
      <c r="W41" s="18">
        <f t="shared" si="5"/>
        <v>49</v>
      </c>
      <c r="X41" s="18">
        <f t="shared" si="5"/>
        <v>69</v>
      </c>
      <c r="Y41" s="18">
        <f t="shared" si="5"/>
        <v>72</v>
      </c>
      <c r="Z41" s="18">
        <f t="shared" si="5"/>
        <v>42</v>
      </c>
      <c r="AA41" s="19">
        <f t="shared" si="5"/>
        <v>1311</v>
      </c>
      <c r="AB41">
        <f>AVERAGE(C41:F41)</f>
        <v>68.75</v>
      </c>
      <c r="AC41">
        <f>AVERAGE(G41:V41)</f>
        <v>50.25</v>
      </c>
      <c r="AD41">
        <f>AVERAGE(W41:Z41)</f>
        <v>58</v>
      </c>
    </row>
    <row r="43" spans="1:30" x14ac:dyDescent="0.35">
      <c r="B43" t="s">
        <v>47</v>
      </c>
      <c r="C43" t="s">
        <v>48</v>
      </c>
    </row>
    <row r="44" spans="1:30" x14ac:dyDescent="0.35">
      <c r="C44" t="s">
        <v>49</v>
      </c>
    </row>
    <row r="45" spans="1:30" x14ac:dyDescent="0.35">
      <c r="B45" t="s">
        <v>93</v>
      </c>
      <c r="C45">
        <f>(AVERAGE(C4:C39)-1)/(2-1)</f>
        <v>0.88888888888888884</v>
      </c>
      <c r="D45">
        <f>(AVERAGE(D4:D39)-1)/(2-1)</f>
        <v>0.80555555555555558</v>
      </c>
      <c r="E45">
        <f t="shared" ref="E45:Z45" si="6">(AVERAGE(E4:E39)-1)/(2-1)</f>
        <v>0.94444444444444442</v>
      </c>
      <c r="F45">
        <f t="shared" si="6"/>
        <v>1</v>
      </c>
      <c r="G45">
        <f t="shared" si="6"/>
        <v>0.63888888888888884</v>
      </c>
      <c r="H45">
        <f t="shared" si="6"/>
        <v>0.88888888888888884</v>
      </c>
      <c r="I45">
        <f t="shared" si="6"/>
        <v>0.47222222222222232</v>
      </c>
      <c r="J45">
        <f t="shared" si="6"/>
        <v>1</v>
      </c>
      <c r="K45">
        <f t="shared" si="6"/>
        <v>5.555555555555558E-2</v>
      </c>
      <c r="L45">
        <f t="shared" si="6"/>
        <v>0.36111111111111116</v>
      </c>
      <c r="M45">
        <f t="shared" si="6"/>
        <v>0.66666666666666674</v>
      </c>
      <c r="N45">
        <f t="shared" si="6"/>
        <v>8.3333333333333259E-2</v>
      </c>
      <c r="O45">
        <f t="shared" si="6"/>
        <v>0.22222222222222232</v>
      </c>
      <c r="P45">
        <f t="shared" si="6"/>
        <v>0.58333333333333326</v>
      </c>
      <c r="Q45">
        <f t="shared" si="6"/>
        <v>0.11111111111111116</v>
      </c>
      <c r="R45">
        <f t="shared" si="6"/>
        <v>0.11111111111111116</v>
      </c>
      <c r="S45">
        <f t="shared" si="6"/>
        <v>0.13888888888888884</v>
      </c>
      <c r="T45">
        <f t="shared" si="6"/>
        <v>0.77777777777777768</v>
      </c>
      <c r="U45">
        <f t="shared" si="6"/>
        <v>0.11111111111111116</v>
      </c>
      <c r="V45">
        <f t="shared" si="6"/>
        <v>0.11111111111111116</v>
      </c>
      <c r="W45">
        <f t="shared" si="6"/>
        <v>0.36111111111111116</v>
      </c>
      <c r="X45">
        <f t="shared" si="6"/>
        <v>0.91666666666666674</v>
      </c>
      <c r="Y45">
        <f t="shared" si="6"/>
        <v>1</v>
      </c>
      <c r="Z45">
        <f t="shared" si="6"/>
        <v>0.16666666666666674</v>
      </c>
    </row>
    <row r="46" spans="1:30" x14ac:dyDescent="0.35">
      <c r="B46" t="s">
        <v>94</v>
      </c>
      <c r="C46" s="45">
        <f>AVERAGE(C45:F45)</f>
        <v>0.90972222222222221</v>
      </c>
      <c r="D46" s="45"/>
      <c r="E46" s="45"/>
      <c r="F46" s="45"/>
      <c r="G46">
        <f>AVERAGE(G45)</f>
        <v>0.63888888888888884</v>
      </c>
      <c r="H46" s="45">
        <f>AVERAGE(H45:M45)</f>
        <v>0.57407407407407407</v>
      </c>
      <c r="I46" s="45"/>
      <c r="J46" s="45"/>
      <c r="K46" s="45"/>
      <c r="L46" s="45"/>
      <c r="M46" s="45"/>
      <c r="N46" s="45">
        <f>AVERAGE(N45:O45)</f>
        <v>0.15277777777777779</v>
      </c>
      <c r="O46" s="45"/>
      <c r="P46" s="45">
        <f>AVERAGE(P45:R45)</f>
        <v>0.26851851851851855</v>
      </c>
      <c r="Q46" s="45"/>
      <c r="R46" s="45"/>
      <c r="S46" s="45">
        <f>AVERAGE(S45:V45)</f>
        <v>0.28472222222222221</v>
      </c>
      <c r="T46" s="45"/>
      <c r="U46" s="45"/>
      <c r="V46" s="45"/>
      <c r="W46" s="45">
        <f>AVERAGE(W45:X45)</f>
        <v>0.63888888888888895</v>
      </c>
      <c r="X46" s="45"/>
      <c r="Y46" s="45">
        <f>AVERAGE(Y45:Z45)</f>
        <v>0.58333333333333337</v>
      </c>
      <c r="Z46" s="45"/>
    </row>
    <row r="47" spans="1:30" x14ac:dyDescent="0.35">
      <c r="B47" t="s">
        <v>91</v>
      </c>
      <c r="C47" s="45">
        <v>4</v>
      </c>
      <c r="D47" s="45"/>
      <c r="E47" s="45"/>
      <c r="F47" s="45"/>
      <c r="G47">
        <v>1</v>
      </c>
      <c r="H47" s="45">
        <v>6</v>
      </c>
      <c r="I47" s="45"/>
      <c r="J47" s="45"/>
      <c r="K47" s="45"/>
      <c r="L47" s="45"/>
      <c r="M47" s="45"/>
      <c r="N47" s="45">
        <v>2</v>
      </c>
      <c r="O47" s="45"/>
      <c r="P47" s="45">
        <v>3</v>
      </c>
      <c r="Q47" s="45"/>
      <c r="R47" s="45"/>
      <c r="S47" s="45">
        <v>4</v>
      </c>
      <c r="T47" s="45"/>
      <c r="U47" s="45"/>
      <c r="V47" s="45"/>
      <c r="W47" s="45">
        <v>2</v>
      </c>
      <c r="X47" s="45"/>
      <c r="Y47" s="45">
        <v>2</v>
      </c>
      <c r="Z47" s="45"/>
    </row>
    <row r="48" spans="1:30" x14ac:dyDescent="0.35">
      <c r="B48" t="s">
        <v>95</v>
      </c>
      <c r="C48" s="45">
        <f>C46*C47</f>
        <v>3.6388888888888888</v>
      </c>
      <c r="D48" s="45"/>
      <c r="E48" s="45"/>
      <c r="F48" s="45"/>
      <c r="G48">
        <f>G46*G47</f>
        <v>0.63888888888888884</v>
      </c>
      <c r="H48" s="45">
        <f>H46*H47</f>
        <v>3.4444444444444446</v>
      </c>
      <c r="I48" s="45"/>
      <c r="J48" s="45"/>
      <c r="K48" s="45"/>
      <c r="L48" s="45"/>
      <c r="M48" s="45"/>
      <c r="N48" s="45">
        <f>N46*N47</f>
        <v>0.30555555555555558</v>
      </c>
      <c r="O48" s="45"/>
      <c r="P48" s="45">
        <f>P46*P47</f>
        <v>0.80555555555555558</v>
      </c>
      <c r="Q48" s="45"/>
      <c r="R48" s="45"/>
      <c r="S48" s="45">
        <f>S46*S47</f>
        <v>1.1388888888888888</v>
      </c>
      <c r="T48" s="45"/>
      <c r="U48" s="45"/>
      <c r="V48" s="45"/>
      <c r="W48" s="45">
        <f>W46*W47</f>
        <v>1.2777777777777779</v>
      </c>
      <c r="X48" s="45"/>
      <c r="Y48" s="45">
        <f>Y46*Y47</f>
        <v>1.1666666666666667</v>
      </c>
      <c r="Z48" s="45"/>
    </row>
    <row r="49" spans="2:26" x14ac:dyDescent="0.35">
      <c r="B49" t="s">
        <v>92</v>
      </c>
      <c r="C49" s="45">
        <f>SUM(C48:Z48)/SUM(C47:Z47)</f>
        <v>0.51736111111111116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1" spans="2:26" x14ac:dyDescent="0.35">
      <c r="B51" t="s">
        <v>96</v>
      </c>
    </row>
    <row r="52" spans="2:26" x14ac:dyDescent="0.35">
      <c r="B52" t="s">
        <v>2</v>
      </c>
      <c r="C52">
        <f>(C46*C47)/C47</f>
        <v>0.90972222222222221</v>
      </c>
    </row>
    <row r="53" spans="2:26" x14ac:dyDescent="0.35">
      <c r="B53" t="s">
        <v>3</v>
      </c>
      <c r="C53">
        <f>((G46*G47)+(H46*H47)+(N46*N47)+(P46*P47)+(S46*S47))/SUM(G47:V47)</f>
        <v>0.39583333333333337</v>
      </c>
    </row>
    <row r="54" spans="2:26" x14ac:dyDescent="0.35">
      <c r="B54" t="s">
        <v>4</v>
      </c>
      <c r="C54">
        <f>((W46*W47)+(Y46*Y47))/SUM(W47:Z47)</f>
        <v>0.61111111111111116</v>
      </c>
    </row>
  </sheetData>
  <mergeCells count="36">
    <mergeCell ref="A40:B40"/>
    <mergeCell ref="A41:B41"/>
    <mergeCell ref="A1:A3"/>
    <mergeCell ref="B1:B3"/>
    <mergeCell ref="C1:F1"/>
    <mergeCell ref="C46:F46"/>
    <mergeCell ref="C47:F47"/>
    <mergeCell ref="AB1:AB3"/>
    <mergeCell ref="AC1:AC3"/>
    <mergeCell ref="AD1:AD3"/>
    <mergeCell ref="G1:V1"/>
    <mergeCell ref="W1:Z1"/>
    <mergeCell ref="AA1:AA3"/>
    <mergeCell ref="C2:F2"/>
    <mergeCell ref="G2:V2"/>
    <mergeCell ref="W2:Z2"/>
    <mergeCell ref="Y46:Z46"/>
    <mergeCell ref="H47:M47"/>
    <mergeCell ref="N47:O47"/>
    <mergeCell ref="P47:R47"/>
    <mergeCell ref="S47:V47"/>
    <mergeCell ref="W47:X47"/>
    <mergeCell ref="Y47:Z47"/>
    <mergeCell ref="H46:M46"/>
    <mergeCell ref="N46:O46"/>
    <mergeCell ref="P46:R46"/>
    <mergeCell ref="S46:V46"/>
    <mergeCell ref="W46:X46"/>
    <mergeCell ref="P48:R48"/>
    <mergeCell ref="S48:V48"/>
    <mergeCell ref="W48:X48"/>
    <mergeCell ref="Y48:Z48"/>
    <mergeCell ref="C49:Z49"/>
    <mergeCell ref="C48:F48"/>
    <mergeCell ref="H48:M48"/>
    <mergeCell ref="N48:O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B924-E489-484D-9B4E-6C726AD7DE40}">
  <dimension ref="A2:P23"/>
  <sheetViews>
    <sheetView workbookViewId="0">
      <selection activeCell="J24" sqref="J24"/>
    </sheetView>
  </sheetViews>
  <sheetFormatPr defaultRowHeight="14.5" x14ac:dyDescent="0.35"/>
  <cols>
    <col min="1" max="1" width="4.453125" style="31" customWidth="1"/>
    <col min="2" max="2" width="46.90625" customWidth="1"/>
    <col min="5" max="5" width="11.1796875" bestFit="1" customWidth="1"/>
    <col min="7" max="7" width="4.1796875" style="31" customWidth="1"/>
    <col min="8" max="8" width="55.1796875" customWidth="1"/>
    <col min="11" max="11" width="11.1796875" bestFit="1" customWidth="1"/>
    <col min="13" max="13" width="3.54296875" style="31" customWidth="1"/>
    <col min="14" max="14" width="54.453125" customWidth="1"/>
    <col min="17" max="17" width="11.1796875" bestFit="1" customWidth="1"/>
  </cols>
  <sheetData>
    <row r="2" spans="1:16" ht="14.5" customHeight="1" thickBot="1" x14ac:dyDescent="0.4">
      <c r="A2" s="57" t="s">
        <v>87</v>
      </c>
      <c r="B2" s="57"/>
      <c r="C2" s="57"/>
      <c r="D2" s="57"/>
      <c r="G2" s="57" t="s">
        <v>88</v>
      </c>
      <c r="H2" s="57"/>
      <c r="I2" s="57"/>
      <c r="J2" s="57"/>
      <c r="M2" s="57" t="s">
        <v>89</v>
      </c>
      <c r="N2" s="57"/>
      <c r="O2" s="57"/>
      <c r="P2" s="57"/>
    </row>
    <row r="3" spans="1:16" ht="13.5" customHeight="1" thickBot="1" x14ac:dyDescent="0.4">
      <c r="A3" s="60" t="s">
        <v>6</v>
      </c>
      <c r="B3" s="61"/>
      <c r="C3" s="22" t="s">
        <v>73</v>
      </c>
      <c r="D3" s="22" t="s">
        <v>74</v>
      </c>
      <c r="G3" s="55" t="s">
        <v>50</v>
      </c>
      <c r="H3" s="56"/>
      <c r="I3" s="22" t="s">
        <v>51</v>
      </c>
      <c r="J3" s="22" t="s">
        <v>52</v>
      </c>
      <c r="M3" s="58" t="s">
        <v>82</v>
      </c>
      <c r="N3" s="59"/>
      <c r="O3" s="27" t="s">
        <v>51</v>
      </c>
      <c r="P3" s="27" t="s">
        <v>52</v>
      </c>
    </row>
    <row r="4" spans="1:16" ht="30.5" customHeight="1" thickBot="1" x14ac:dyDescent="0.4">
      <c r="A4" s="33">
        <v>1</v>
      </c>
      <c r="B4" s="23" t="s">
        <v>75</v>
      </c>
      <c r="C4" s="24"/>
      <c r="D4" s="24"/>
      <c r="G4" s="33">
        <v>1</v>
      </c>
      <c r="H4" s="23" t="s">
        <v>53</v>
      </c>
      <c r="I4" s="24"/>
      <c r="J4" s="24"/>
      <c r="M4" s="32">
        <v>1</v>
      </c>
      <c r="N4" s="28" t="s">
        <v>83</v>
      </c>
      <c r="O4" s="29"/>
      <c r="P4" s="29"/>
    </row>
    <row r="5" spans="1:16" ht="27" customHeight="1" thickBot="1" x14ac:dyDescent="0.4">
      <c r="A5" s="62">
        <v>2</v>
      </c>
      <c r="B5" s="25" t="s">
        <v>76</v>
      </c>
      <c r="C5" s="65"/>
      <c r="D5" s="65"/>
      <c r="G5" s="55" t="s">
        <v>54</v>
      </c>
      <c r="H5" s="56"/>
      <c r="I5" s="24" t="s">
        <v>51</v>
      </c>
      <c r="J5" s="24" t="s">
        <v>52</v>
      </c>
      <c r="M5" s="32">
        <v>2</v>
      </c>
      <c r="N5" s="28" t="s">
        <v>84</v>
      </c>
      <c r="O5" s="29"/>
      <c r="P5" s="29"/>
    </row>
    <row r="6" spans="1:16" ht="16" customHeight="1" thickBot="1" x14ac:dyDescent="0.4">
      <c r="A6" s="63"/>
      <c r="B6" s="25" t="s">
        <v>77</v>
      </c>
      <c r="C6" s="66"/>
      <c r="D6" s="66"/>
      <c r="G6" s="33">
        <v>2</v>
      </c>
      <c r="H6" s="23" t="s">
        <v>55</v>
      </c>
      <c r="I6" s="24"/>
      <c r="J6" s="24"/>
      <c r="M6" s="58" t="s">
        <v>85</v>
      </c>
      <c r="N6" s="59"/>
      <c r="O6" s="29" t="s">
        <v>51</v>
      </c>
      <c r="P6" s="29" t="s">
        <v>52</v>
      </c>
    </row>
    <row r="7" spans="1:16" ht="17.5" customHeight="1" thickBot="1" x14ac:dyDescent="0.4">
      <c r="A7" s="63"/>
      <c r="B7" s="25" t="s">
        <v>78</v>
      </c>
      <c r="C7" s="66"/>
      <c r="D7" s="66"/>
      <c r="G7" s="33">
        <v>3</v>
      </c>
      <c r="H7" s="23" t="s">
        <v>56</v>
      </c>
      <c r="I7" s="24"/>
      <c r="J7" s="24"/>
      <c r="M7" s="36">
        <v>3</v>
      </c>
      <c r="N7" s="30" t="s">
        <v>86</v>
      </c>
      <c r="O7" s="37"/>
      <c r="P7" s="37"/>
    </row>
    <row r="8" spans="1:16" ht="15" customHeight="1" thickBot="1" x14ac:dyDescent="0.4">
      <c r="A8" s="63"/>
      <c r="B8" s="25" t="s">
        <v>79</v>
      </c>
      <c r="C8" s="66"/>
      <c r="D8" s="66"/>
      <c r="G8" s="33">
        <v>4</v>
      </c>
      <c r="H8" s="23" t="s">
        <v>57</v>
      </c>
      <c r="I8" s="24"/>
      <c r="J8" s="24"/>
      <c r="M8" s="42">
        <v>4</v>
      </c>
      <c r="N8" s="43" t="s">
        <v>90</v>
      </c>
      <c r="O8" s="44"/>
      <c r="P8" s="44"/>
    </row>
    <row r="9" spans="1:16" ht="19" customHeight="1" thickBot="1" x14ac:dyDescent="0.4">
      <c r="A9" s="64"/>
      <c r="B9" s="23"/>
      <c r="C9" s="67"/>
      <c r="D9" s="67"/>
      <c r="G9" s="33">
        <v>5</v>
      </c>
      <c r="H9" s="23" t="s">
        <v>58</v>
      </c>
      <c r="I9" s="24"/>
      <c r="J9" s="24"/>
      <c r="M9" s="39"/>
      <c r="N9" s="38"/>
      <c r="O9" s="39"/>
      <c r="P9" s="39"/>
    </row>
    <row r="10" spans="1:16" s="20" customFormat="1" ht="30.5" customHeight="1" thickBot="1" x14ac:dyDescent="0.35">
      <c r="A10" s="33">
        <v>3</v>
      </c>
      <c r="B10" s="23" t="s">
        <v>80</v>
      </c>
      <c r="C10" s="24"/>
      <c r="D10" s="24"/>
      <c r="G10" s="33">
        <v>6</v>
      </c>
      <c r="H10" s="23" t="s">
        <v>59</v>
      </c>
      <c r="I10" s="24"/>
      <c r="J10" s="24"/>
      <c r="M10" s="39"/>
      <c r="N10" s="40"/>
      <c r="O10" s="39"/>
      <c r="P10" s="39"/>
    </row>
    <row r="11" spans="1:16" ht="26.5" thickBot="1" x14ac:dyDescent="0.4">
      <c r="A11" s="35">
        <v>4</v>
      </c>
      <c r="B11" s="25" t="s">
        <v>81</v>
      </c>
      <c r="C11" s="26"/>
      <c r="D11" s="26"/>
      <c r="G11" s="33">
        <v>7</v>
      </c>
      <c r="H11" s="23" t="s">
        <v>60</v>
      </c>
      <c r="I11" s="24"/>
      <c r="J11" s="24"/>
      <c r="M11" s="39"/>
      <c r="N11" s="38"/>
      <c r="O11" s="39"/>
      <c r="P11" s="39"/>
    </row>
    <row r="12" spans="1:16" ht="16" customHeight="1" thickBot="1" x14ac:dyDescent="0.4">
      <c r="A12" s="68"/>
      <c r="B12" s="70"/>
      <c r="C12" s="70"/>
      <c r="D12" s="70"/>
      <c r="G12" s="55" t="s">
        <v>61</v>
      </c>
      <c r="H12" s="56"/>
      <c r="I12" s="24" t="s">
        <v>51</v>
      </c>
      <c r="J12" s="24" t="s">
        <v>52</v>
      </c>
      <c r="M12" s="41"/>
      <c r="N12" s="21"/>
      <c r="O12" s="21"/>
      <c r="P12" s="21"/>
    </row>
    <row r="13" spans="1:16" ht="17" customHeight="1" thickBot="1" x14ac:dyDescent="0.4">
      <c r="A13" s="69"/>
      <c r="B13" s="71"/>
      <c r="C13" s="71"/>
      <c r="D13" s="71"/>
      <c r="G13" s="34">
        <v>8</v>
      </c>
      <c r="H13" s="23" t="s">
        <v>62</v>
      </c>
      <c r="I13" s="24"/>
      <c r="J13" s="24"/>
    </row>
    <row r="14" spans="1:16" ht="26.5" thickBot="1" x14ac:dyDescent="0.4">
      <c r="G14" s="34">
        <v>9</v>
      </c>
      <c r="H14" s="23" t="s">
        <v>63</v>
      </c>
      <c r="I14" s="24"/>
      <c r="J14" s="24"/>
    </row>
    <row r="15" spans="1:16" ht="16" customHeight="1" thickBot="1" x14ac:dyDescent="0.4">
      <c r="G15" s="55" t="s">
        <v>64</v>
      </c>
      <c r="H15" s="56"/>
      <c r="I15" s="24" t="s">
        <v>51</v>
      </c>
      <c r="J15" s="24" t="s">
        <v>52</v>
      </c>
    </row>
    <row r="16" spans="1:16" ht="20" customHeight="1" thickBot="1" x14ac:dyDescent="0.4">
      <c r="G16" s="33">
        <v>10</v>
      </c>
      <c r="H16" s="23" t="s">
        <v>65</v>
      </c>
      <c r="I16" s="24"/>
      <c r="J16" s="24"/>
    </row>
    <row r="17" spans="7:10" ht="26.5" customHeight="1" thickBot="1" x14ac:dyDescent="0.4">
      <c r="G17" s="33">
        <v>11</v>
      </c>
      <c r="H17" s="23" t="s">
        <v>66</v>
      </c>
      <c r="I17" s="24"/>
      <c r="J17" s="24"/>
    </row>
    <row r="18" spans="7:10" ht="28" customHeight="1" thickBot="1" x14ac:dyDescent="0.4">
      <c r="G18" s="33">
        <v>12</v>
      </c>
      <c r="H18" s="23" t="s">
        <v>67</v>
      </c>
      <c r="I18" s="24"/>
      <c r="J18" s="24"/>
    </row>
    <row r="19" spans="7:10" ht="16" customHeight="1" thickBot="1" x14ac:dyDescent="0.4">
      <c r="G19" s="55" t="s">
        <v>68</v>
      </c>
      <c r="H19" s="56"/>
      <c r="I19" s="24" t="s">
        <v>51</v>
      </c>
      <c r="J19" s="24" t="s">
        <v>52</v>
      </c>
    </row>
    <row r="20" spans="7:10" ht="15" thickBot="1" x14ac:dyDescent="0.4">
      <c r="G20" s="33">
        <v>13</v>
      </c>
      <c r="H20" s="23" t="s">
        <v>69</v>
      </c>
      <c r="I20" s="24"/>
      <c r="J20" s="24"/>
    </row>
    <row r="21" spans="7:10" ht="28" customHeight="1" thickBot="1" x14ac:dyDescent="0.4">
      <c r="G21" s="33">
        <v>14</v>
      </c>
      <c r="H21" s="23" t="s">
        <v>70</v>
      </c>
      <c r="I21" s="24"/>
      <c r="J21" s="24"/>
    </row>
    <row r="22" spans="7:10" ht="17.5" customHeight="1" thickBot="1" x14ac:dyDescent="0.4">
      <c r="G22" s="33">
        <v>15</v>
      </c>
      <c r="H22" s="23" t="s">
        <v>71</v>
      </c>
      <c r="I22" s="24"/>
      <c r="J22" s="24"/>
    </row>
    <row r="23" spans="7:10" ht="15" thickBot="1" x14ac:dyDescent="0.4">
      <c r="G23" s="33">
        <v>16</v>
      </c>
      <c r="H23" s="23" t="s">
        <v>72</v>
      </c>
      <c r="I23" s="24"/>
      <c r="J23" s="24"/>
    </row>
  </sheetData>
  <mergeCells count="18">
    <mergeCell ref="G15:H15"/>
    <mergeCell ref="M2:P2"/>
    <mergeCell ref="G19:H19"/>
    <mergeCell ref="A2:D2"/>
    <mergeCell ref="G2:J2"/>
    <mergeCell ref="M3:N3"/>
    <mergeCell ref="M6:N6"/>
    <mergeCell ref="G3:H3"/>
    <mergeCell ref="G5:H5"/>
    <mergeCell ref="A3:B3"/>
    <mergeCell ref="A5:A9"/>
    <mergeCell ref="C5:C9"/>
    <mergeCell ref="D5:D9"/>
    <mergeCell ref="A12:A13"/>
    <mergeCell ref="B12:B13"/>
    <mergeCell ref="C12:C13"/>
    <mergeCell ref="D12:D13"/>
    <mergeCell ref="G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KERENTANAN</vt:lpstr>
      <vt:lpstr>Pertanyaan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Juli Yandi Rahman</cp:lastModifiedBy>
  <dcterms:created xsi:type="dcterms:W3CDTF">2023-02-28T09:23:15Z</dcterms:created>
  <dcterms:modified xsi:type="dcterms:W3CDTF">2023-09-20T13:16:24Z</dcterms:modified>
</cp:coreProperties>
</file>